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WorkPackages" sheetId="3" state="visible" r:id="rId5"/>
    <sheet name="Build_Summary" sheetId="4" state="visible" r:id="rId6"/>
    <sheet name="Capacity_Schedule" sheetId="5" state="visible" r:id="rId7"/>
    <sheet name="OpEx_Monthly" sheetId="6" state="visible" r:id="rId8"/>
    <sheet name="TCO" sheetId="7" state="visible" r:id="rId9"/>
    <sheet name="Accounting_Boundary" sheetId="8" state="visible" r:id="rId10"/>
    <sheet name="Build_vs_Buy" sheetId="9" state="visible" r:id="rId11"/>
    <sheet name="Sensitivity" sheetId="10" state="visible" r:id="rId12"/>
    <sheet name="Traceability" sheetId="11" state="visible" r:id="rId13"/>
    <sheet name="Features_Ref" sheetId="12" state="visible" r:id="rId14"/>
    <sheet name="Verification" sheetId="13" state="visible" r:id="rId15"/>
    <sheet name="Change_v02_v03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4" authorId="0">
      <text>
        <r>
          <rPr>
            <sz val="10"/>
            <rFont val="Arial"/>
            <family val="2"/>
          </rPr>
          <t xml:space="preserve">Hardcoded from scope_register.json (len(features)) at build time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7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8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9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0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1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2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3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4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5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6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7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8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19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20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21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22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23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24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25" authorId="0">
      <text>
        <r>
          <rPr>
            <sz val="10"/>
            <rFont val="Arial"/>
            <family val="2"/>
          </rPr>
          <t xml:space="preserve">v0.2 value — source: v0.2 06_Cost_and_Traceability_Model.xlsx (Verification / WorkPackages), recalculated 2026-10-10</t>
        </r>
      </text>
    </comment>
    <comment ref="B30" authorId="0">
      <text>
        <r>
          <rPr>
            <sz val="10"/>
            <rFont val="Arial"/>
            <family val="2"/>
          </rPr>
          <t xml:space="preserve">v0.2: R2 / 340 h</t>
        </r>
      </text>
    </comment>
    <comment ref="B31" authorId="0">
      <text>
        <r>
          <rPr>
            <sz val="10"/>
            <rFont val="Arial"/>
            <family val="2"/>
          </rPr>
          <t xml:space="preserve">v0.2: R3 / 200 h</t>
        </r>
      </text>
    </comment>
    <comment ref="B32" authorId="0">
      <text>
        <r>
          <rPr>
            <sz val="10"/>
            <rFont val="Arial"/>
            <family val="2"/>
          </rPr>
          <t xml:space="preserve">v0.2: R4 / 380 h</t>
        </r>
      </text>
    </comment>
    <comment ref="B33" authorId="0">
      <text>
        <r>
          <rPr>
            <sz val="10"/>
            <rFont val="Arial"/>
            <family val="2"/>
          </rPr>
          <t xml:space="preserve">v0.2: R3 / 360 h</t>
        </r>
      </text>
    </comment>
    <comment ref="B34" authorId="0">
      <text>
        <r>
          <rPr>
            <sz val="10"/>
            <rFont val="Arial"/>
            <family val="2"/>
          </rPr>
          <t xml:space="preserve">v0.2: R4 / 320 h</t>
        </r>
      </text>
    </comment>
    <comment ref="B35" authorId="0">
      <text>
        <r>
          <rPr>
            <sz val="10"/>
            <rFont val="Arial"/>
            <family val="2"/>
          </rPr>
          <t xml:space="preserve">v0.2: R5 / 720 h</t>
        </r>
      </text>
    </comment>
    <comment ref="B36" authorId="0">
      <text>
        <r>
          <rPr>
            <sz val="10"/>
            <rFont val="Arial"/>
            <family val="2"/>
          </rPr>
          <t xml:space="preserve">v0.2: did not exist</t>
        </r>
      </text>
    </comment>
    <comment ref="B37" authorId="0">
      <text>
        <r>
          <rPr>
            <sz val="10"/>
            <rFont val="Arial"/>
            <family val="2"/>
          </rPr>
          <t xml:space="preserve">v0.2: did not exist</t>
        </r>
      </text>
    </comment>
    <comment ref="C31" authorId="0">
      <text>
        <r>
          <rPr>
            <sz val="10"/>
            <rFont val="Arial"/>
            <family val="2"/>
          </rPr>
          <t xml:space="preserve">Retired in v0.3</t>
        </r>
      </text>
    </comment>
    <comment ref="C32" authorId="0">
      <text>
        <r>
          <rPr>
            <sz val="10"/>
            <rFont val="Arial"/>
            <family val="2"/>
          </rPr>
          <t xml:space="preserve">Retired in v0.3</t>
        </r>
      </text>
    </comment>
    <comment ref="C34" authorId="0">
      <text>
        <r>
          <rPr>
            <sz val="10"/>
            <rFont val="Arial"/>
            <family val="2"/>
          </rPr>
          <t xml:space="preserve">Retired in v0.3</t>
        </r>
      </text>
    </comment>
  </commentList>
</comments>
</file>

<file path=xl/sharedStrings.xml><?xml version="1.0" encoding="utf-8"?>
<sst xmlns="http://schemas.openxmlformats.org/spreadsheetml/2006/main" count="2356" uniqueCount="1158">
  <si>
    <t xml:space="preserve">06 — Cost &amp; Traceability Model (INR) — in-house commerce-intelligence app (Rama / Phoenix) — v0.3</t>
  </si>
  <si>
    <t xml:space="preserve">Purpose: editable planning model for build cost (labour by work package), CapEx-candidate / expense boundary, monthly OpEx, TCO (12/24/36 months), build-vs-buy vs Sellerboard, sensitivity and WP→release→feature traceability.</t>
  </si>
  <si>
    <t xml:space="preserve">Version 0.3 — audit cutoff 2026-10-10 (baseline v0.1 cutoff 2026-09-10). Scope source: /engineering/scope_register.json (36 work packages WP-01..WP-39 with WP-18/19/21 retired, 11,180 h; releases R0–R5 with calendar_weeks; 31 connectors; 172 features). Regenerate with /engineering/build_cost_model.py. Price sources: /research/public_sources_apis.md.</t>
  </si>
  <si>
    <t xml:space="preserve">ALL RATES AND ALLOWANCES ARE PLANNING ASSUMPTIONS, NOT QUOTES. No vendor, contractor or cloud provider has quoted these figures. Hourly rates are labelled assumptions for an Indian in-house / contract team; validate before approval.</t>
  </si>
  <si>
    <t xml:space="preserve">Colour legend: BLUE text = input / assumption you may change; BLACK text = formula (do not overwrite); GREEN text = link to another sheet; YELLOW fill = key decision inputs (contingency %, capitalization approved %, benefit threshold).</t>
  </si>
  <si>
    <t xml:space="preserve">How to change assumptions: edit BLUE cells on 'Assumptions' (rates, contingency, FTE capacity, FX, cloud, AI tokens, Sellerboard spend, scenario multipliers) and on 'WorkPackages' (hours per WP), and the category % inputs on 'Accounting_Boundary'. Every other sheet recalculates. Do not insert rows inside the rate table (rows referenced by VLOOKUP). To change scope, edit scope_register.json and re-run the build script.</t>
  </si>
  <si>
    <t xml:space="preserve">Sheets: Assumptions · WorkPackages · Build_Summary · Capacity_Schedule · OpEx_Monthly (with applies_from_release) · TCO · Accounting_Boundary · Build_vs_Buy · Sensitivity · Traceability · Features_Ref (data extract used by Traceability counts) · Verification (key totals, LibreOffice-recalc verified) · Change_v02_v03 (v0.2 vs v0.3 bridge and the WPs that drove it).</t>
  </si>
  <si>
    <t xml:space="preserve">Key conventions: hours × loaded rate = labour cost; cash TCO includes the 20% contingency as committed budget; it is shown separately in Build_Summary; 'Initial bounded release' = R0+R1 plus a pro-rata share of cross-cutting (ALL) WPs by hours; 'Full approved parity' = all WPs. Amortization is shown separately from cash and is never added to cash TCO. Capitalization is a CFO decision under Ind AS 38 / IAS 38 — default approved % is 0.</t>
  </si>
  <si>
    <t xml:space="preserve">What changed in v0.3 (2026-10-10, Owner decisions): (1) marketing function omitted — WP-18 review requests, WP-19 PPC analytics and WP-21 PPC automation retired; WP-14 reduced to LTV/repeat customers (220 h); WP-20 safety framework reduced to repricer writes (280 h); ad spend is still read (WP-37, R1) as a cost line so net profit matches Sellerboard. (2) All markets — every Amazon marketplace (new WP-38, R2) and Walmart/eBay/TikTok Shop (WP-23 moved R5→R2, 600 h); ops connectors split to new WP-39 (R5). (3) Build with ChatGPT Codex; deploy on AWS. R2 is now 'All markets &amp; marketplaces' (14 weeks); R4 'Pricing automation (conditional)' (6 weeks); R5 10 weeks. See Change_v02_v03.</t>
  </si>
  <si>
    <t xml:space="preserve">Earlier — what changed in v0.2: R1 widened to 'India-first unified profit core' (14 weeks, was 10): WP-12 Shopify connector and WP-13 fee profiles moved R2→R1; new R1 WPs WP-31 (B2B sales), WP-32 (unified dashboard), WP-33 (mobile-first PWA shell), WP-34 (Sellerboard-compatible P&amp;L + parallel run), WP-35 (Shopify cost completeness); new WP-36 (multi-entity consolidation) in R2; WP-24 reduced to 220 h. New OpEx line 'Courier/3PL data handling' (₹0 assumption, from R1). Sellerboard spend now 3 accounts on sellerboard.com + 1 Shopify store on sellerboard.io.</t>
  </si>
  <si>
    <t xml:space="preserve">Excluded from all figures: ad spend, stock purchases, fulfilment fees, GST/taxes on services, office overhead, recruitment. SP-API fees: Amazon cancelled the planned fees 'at this time' (May 2026) → $0 planning assumption, monitor.</t>
  </si>
  <si>
    <t xml:space="preserve">Sellerboard reference: sellerboard.com Business plan $39/mo observed (3 accounts); other .com plans $19–$79/mo per account. sellerboard.io (Shopify store, 1 store): plan NOT observed → $39/mo is an ASSUMPTION, labelled on Assumptions.</t>
  </si>
  <si>
    <t xml:space="preserve">Assumptions — all BLUE cells are planning assumptions, not quotes</t>
  </si>
  <si>
    <t xml:space="preserve">Units: INR unless stated. Cutoff 2026-10-10. Scope register v0.3.</t>
  </si>
  <si>
    <t xml:space="preserve">Loaded hourly rate by role (INR/h)</t>
  </si>
  <si>
    <t xml:space="preserve">Value</t>
  </si>
  <si>
    <t xml:space="preserve">Unit</t>
  </si>
  <si>
    <t xml:space="preserve">Note</t>
  </si>
  <si>
    <t xml:space="preserve">Solution architect</t>
  </si>
  <si>
    <t xml:space="preserve">INR/h</t>
  </si>
  <si>
    <t xml:space="preserve">Assumption — loaded (salary + overhead) India rate; not a quote</t>
  </si>
  <si>
    <t xml:space="preserve">Backend lead</t>
  </si>
  <si>
    <t xml:space="preserve">Backend</t>
  </si>
  <si>
    <t xml:space="preserve">Frontend</t>
  </si>
  <si>
    <t xml:space="preserve">Full-stack</t>
  </si>
  <si>
    <t xml:space="preserve">Integration eng</t>
  </si>
  <si>
    <t xml:space="preserve">Financial/data eng</t>
  </si>
  <si>
    <t xml:space="preserve">Data eng</t>
  </si>
  <si>
    <t xml:space="preserve">Product designer</t>
  </si>
  <si>
    <t xml:space="preserve">QA/security</t>
  </si>
  <si>
    <t xml:space="preserve">DevOps</t>
  </si>
  <si>
    <t xml:space="preserve">Delivery lead</t>
  </si>
  <si>
    <t xml:space="preserve">Delivery &amp; capacity</t>
  </si>
  <si>
    <t xml:space="preserve">Contingency % on labour</t>
  </si>
  <si>
    <t xml:space="preserve">%</t>
  </si>
  <si>
    <t xml:space="preserve">Committed budget in cash TCO; shown separately in Build_Summary</t>
  </si>
  <si>
    <t xml:space="preserve">Nominal FTE capacity</t>
  </si>
  <si>
    <t xml:space="preserve">h/month</t>
  </si>
  <si>
    <t xml:space="preserve">Assumption</t>
  </si>
  <si>
    <t xml:space="preserve">Productive factor</t>
  </si>
  <si>
    <t xml:space="preserve">ratio</t>
  </si>
  <si>
    <t xml:space="preserve">Share of nominal hours that is productive delivery</t>
  </si>
  <si>
    <t xml:space="preserve">USD→INR</t>
  </si>
  <si>
    <t xml:space="preserve">INR per USD</t>
  </si>
  <si>
    <t xml:space="preserve">Assumption; refresh at approval date</t>
  </si>
  <si>
    <t xml:space="preserve">Amortization period (capex-candidate)</t>
  </si>
  <si>
    <t xml:space="preserve">years</t>
  </si>
  <si>
    <t xml:space="preserve">Straight-line; shown separately from cash</t>
  </si>
  <si>
    <t xml:space="preserve">Release calendar (from scope_register.json calendar_weeks)</t>
  </si>
  <si>
    <t xml:space="preserve">R0 — Read-only pilot &amp; foundations</t>
  </si>
  <si>
    <t xml:space="preserve">weeks</t>
  </si>
  <si>
    <t xml:space="preserve">Workspace, entities, connectors read-only, raw ledger, 90-day backfill, no operational writes</t>
  </si>
  <si>
    <t xml:space="preserve">R1 — India-first unified profit core</t>
  </si>
  <si>
    <t xml:space="preserve">One dashboard for Amazon.in + Shopify India + manual B2B: Sellerboard-compatible P&amp;L, COGS, fees, expenses, B2B entry, reports, mobile-first UI, parallel-run reconciliation</t>
  </si>
  <si>
    <t xml:space="preserve">R2 — All markets &amp; marketplaces</t>
  </si>
  <si>
    <t xml:space="preserve">UK/US/FR/DE entities and stores, every other Amazon marketplace (NA/EU/FE regions), Walmart US/CA/MX, eBay, TikTok Shop; multi-entity consolidation with FX &amp; intercompany elimination; LTV &amp; repeat customers; B2B receivables/export</t>
  </si>
  <si>
    <t xml:space="preserve">R3 — Operations</t>
  </si>
  <si>
    <t xml:space="preserve">Inventory planner, POs, suppliers, FBA/WFS shipments, reimbursement candidates (Money Back), alerts, automation safety framework</t>
  </si>
  <si>
    <t xml:space="preserve">R4 — Pricing automation (conditional)</t>
  </si>
  <si>
    <t xml:space="preserve">Repricer contract (simulation-first; writes only after approval, maker-checker, canary, kill switch)</t>
  </si>
  <si>
    <t xml:space="preserve">R5 — Extended operations connectors &amp; clients</t>
  </si>
  <si>
    <t xml:space="preserve">ShipStation/Flexport/SFN/Veeqo/CJ connectors, PWA extras, browser extension, QuickBooks/Tally export &amp; cashflow, optional AI explain layer</t>
  </si>
  <si>
    <t xml:space="preserve">ALL — cross-cutting (sum of R0–R5)</t>
  </si>
  <si>
    <t xml:space="preserve">Formula: sum of release weeks</t>
  </si>
  <si>
    <t xml:space="preserve">Cloud hosting (monthly, INR)</t>
  </si>
  <si>
    <t xml:space="preserve">Compute (app + workers)</t>
  </si>
  <si>
    <t xml:space="preserve">INR/mo</t>
  </si>
  <si>
    <t xml:space="preserve">Managed Postgres</t>
  </si>
  <si>
    <t xml:space="preserve">Object storage</t>
  </si>
  <si>
    <t xml:space="preserve">Jobs / queue</t>
  </si>
  <si>
    <t xml:space="preserve">Egress</t>
  </si>
  <si>
    <t xml:space="preserve">Observability</t>
  </si>
  <si>
    <t xml:space="preserve">Backups / DR (cross-region copy to ap-south-2)</t>
  </si>
  <si>
    <t xml:space="preserve">Security / landing zone (GuardDuty, Security Hub, Config, CloudTrail, WAF, KMS)</t>
  </si>
  <si>
    <t xml:space="preserve">Ongoing staff / support</t>
  </si>
  <si>
    <t xml:space="preserve">Support / maintenance FTE</t>
  </si>
  <si>
    <t xml:space="preserve">FTE</t>
  </si>
  <si>
    <t xml:space="preserve">Assumption — one engineer part-allocated</t>
  </si>
  <si>
    <t xml:space="preserve">Support engineer loaded rate</t>
  </si>
  <si>
    <t xml:space="preserve">Support hours per FTE per month</t>
  </si>
  <si>
    <t xml:space="preserve">h/mo</t>
  </si>
  <si>
    <t xml:space="preserve">Assumption — 50% of nominal</t>
  </si>
  <si>
    <t xml:space="preserve">Support monthly cost</t>
  </si>
  <si>
    <t xml:space="preserve">Formula = FTE × rate × hours</t>
  </si>
  <si>
    <t xml:space="preserve">Provider / API version upgrade allowance</t>
  </si>
  <si>
    <t xml:space="preserve">Assumption — SP-API, Shopify, Ads API deprecation cycles</t>
  </si>
  <si>
    <t xml:space="preserve">Security review (annual)</t>
  </si>
  <si>
    <t xml:space="preserve">INR/yr</t>
  </si>
  <si>
    <t xml:space="preserve">Assumption — external pen-test / review</t>
  </si>
  <si>
    <t xml:space="preserve">Optional native / browser-extension upkeep</t>
  </si>
  <si>
    <t xml:space="preserve">Assumption — set 0 if PWA-only (R5 scope)</t>
  </si>
  <si>
    <t xml:space="preserve">Courier/3PL data handling</t>
  </si>
  <si>
    <t xml:space="preserve">ASSUMPTION ₹0 — CSV/XLSX import of courier/3PL invoices (CON-32, WP-35) needs no paid API at cutoff; set a value if an aggregator/API fee is incurred. Applies from R1.</t>
  </si>
  <si>
    <t xml:space="preserve">Software / API fees (monthly, INR)</t>
  </si>
  <si>
    <t xml:space="preserve">Amazon SP-API</t>
  </si>
  <si>
    <t xml:space="preserve">Amazon cancelled planned fees 'at this time' (May 2026) → $0; monitor (S35)</t>
  </si>
  <si>
    <t xml:space="preserve">Amazon Ads API</t>
  </si>
  <si>
    <t xml:space="preserve">No fee published</t>
  </si>
  <si>
    <t xml:space="preserve">Shopify custom app</t>
  </si>
  <si>
    <t xml:space="preserve">Custom app — no listing fee (applies from R1 in v0.2: WP-12 moved to R1)</t>
  </si>
  <si>
    <t xml:space="preserve">Other tools (repo, CI, e-mail, monitoring SaaS)</t>
  </si>
  <si>
    <t xml:space="preserve">ChatGPT Business seats with Codex (build team)</t>
  </si>
  <si>
    <t xml:space="preserve">seats</t>
  </si>
  <si>
    <t xml:space="preserve">Assumption — v0.3 build tool (DC-16); size to the actual team</t>
  </si>
  <si>
    <t xml:space="preserve">ChatGPT Business Standard seat, monthly billing</t>
  </si>
  <si>
    <t xml:space="preserve">USD/seat/mo</t>
  </si>
  <si>
    <t xml:space="preserve">OpenAI Help Center, checked 2026-10-10 (S60): $25 monthly / $20 annual per seat, min 2 seats; Standard seats include Codex; usage limits may require Premium seats or credits</t>
  </si>
  <si>
    <t xml:space="preserve">ChatGPT/Codex seats monthly</t>
  </si>
  <si>
    <t xml:space="preserve">Formula = seats × price × FX</t>
  </si>
  <si>
    <t xml:space="preserve">AI consumption (Anthropic API, S47) — USD per million tokens</t>
  </si>
  <si>
    <t xml:space="preserve">Input tokens / month (Fable 5.1)</t>
  </si>
  <si>
    <t xml:space="preserve">M tokens</t>
  </si>
  <si>
    <t xml:space="preserve">Assumption — explain layer, aggregates only</t>
  </si>
  <si>
    <t xml:space="preserve">Output tokens / month (Fable 5.1)</t>
  </si>
  <si>
    <t xml:space="preserve">Fable 5.1 input price</t>
  </si>
  <si>
    <t xml:space="preserve">USD/MTok</t>
  </si>
  <si>
    <t xml:space="preserve">Anthropic pricing at cutoff (S47)</t>
  </si>
  <si>
    <t xml:space="preserve">Fable 5.1 output price</t>
  </si>
  <si>
    <t xml:space="preserve">Sonnet 5 fallback input tokens / month</t>
  </si>
  <si>
    <t xml:space="preserve">Assumption — cheaper fallback for routine explains</t>
  </si>
  <si>
    <t xml:space="preserve">Sonnet 5 fallback output tokens / month</t>
  </si>
  <si>
    <t xml:space="preserve">Sonnet 5 input price</t>
  </si>
  <si>
    <t xml:space="preserve">Anthropic pricing at cutoff</t>
  </si>
  <si>
    <t xml:space="preserve">Sonnet 5 output price</t>
  </si>
  <si>
    <t xml:space="preserve">Haiku 4.5 input price (reference only)</t>
  </si>
  <si>
    <t xml:space="preserve">Not used in base case</t>
  </si>
  <si>
    <t xml:space="preserve">Haiku 4.5 output price (reference only)</t>
  </si>
  <si>
    <t xml:space="preserve">AI monthly cost (USD)</t>
  </si>
  <si>
    <t xml:space="preserve">USD/mo</t>
  </si>
  <si>
    <t xml:space="preserve">Formula</t>
  </si>
  <si>
    <t xml:space="preserve">AI monthly cost (INR)</t>
  </si>
  <si>
    <t xml:space="preserve">Formula = USD × FX</t>
  </si>
  <si>
    <t xml:space="preserve">One-time non-labour</t>
  </si>
  <si>
    <t xml:space="preserve">Laptops / licences / domain / certificates</t>
  </si>
  <si>
    <t xml:space="preserve">INR one-time</t>
  </si>
  <si>
    <t xml:space="preserve">Training (user onboarding, playbooks)</t>
  </si>
  <si>
    <t xml:space="preserve">Assumption — excludes WP-29 labour</t>
  </si>
  <si>
    <t xml:space="preserve">Migration</t>
  </si>
  <si>
    <t xml:space="preserve">Handled by WP-29 hours (labour) — no separate allowance</t>
  </si>
  <si>
    <t xml:space="preserve">Benefit &amp; build-vs-buy</t>
  </si>
  <si>
    <t xml:space="preserve">Monthly benefit threshold (INR)</t>
  </si>
  <si>
    <t xml:space="preserve">Default 0 = unproven; enter only evidenced savings/margin gains</t>
  </si>
  <si>
    <t xml:space="preserve">Sellerboard (sellerboard.com) spend per account</t>
  </si>
  <si>
    <t xml:space="preserve">OBSERVED — Business plan $39/mo on sellerboard.com; .com plans $19–$79/mo</t>
  </si>
  <si>
    <t xml:space="preserve">Sellerboard (sellerboard.com) accounts</t>
  </si>
  <si>
    <t xml:space="preserve">accounts</t>
  </si>
  <si>
    <t xml:space="preserve">3 Amazon accounts on sellerboard.com (per owner, v0.2)</t>
  </si>
  <si>
    <t xml:space="preserve">Sellerboard (sellerboard.io) spend per Shopify store</t>
  </si>
  <si>
    <t xml:space="preserve">ASSUMPTION — sellerboard.io plan not observed at cutoff; $39/mo assumed equal to observed .com Business plan</t>
  </si>
  <si>
    <t xml:space="preserve">Sellerboard (sellerboard.io) Shopify stores</t>
  </si>
  <si>
    <t xml:space="preserve">stores</t>
  </si>
  <si>
    <t xml:space="preserve">1 Shopify store on sellerboard.io (per owner, v0.2)</t>
  </si>
  <si>
    <t xml:space="preserve">Scenario multipliers (OpEx &amp; build)</t>
  </si>
  <si>
    <t xml:space="preserve">Low</t>
  </si>
  <si>
    <t xml:space="preserve">×</t>
  </si>
  <si>
    <t xml:space="preserve">Applied to OpEx and build in TCO</t>
  </si>
  <si>
    <t xml:space="preserve">Base</t>
  </si>
  <si>
    <t xml:space="preserve">High</t>
  </si>
  <si>
    <t xml:space="preserve">Capitalization</t>
  </si>
  <si>
    <t xml:space="preserve">Capitalization approved %</t>
  </si>
  <si>
    <t xml:space="preserve">CFO decision under Ind AS 38 / IAS 38 — default 0 until criteria evidenced</t>
  </si>
  <si>
    <t xml:space="preserve">Work packages — hours are BLUE inputs (from scope_register.json); rate via VLOOKUP on Assumptions; cost = hours × rate</t>
  </si>
  <si>
    <t xml:space="preserve">WP</t>
  </si>
  <si>
    <t xml:space="preserve">Name</t>
  </si>
  <si>
    <t xml:space="preserve">Release</t>
  </si>
  <si>
    <t xml:space="preserve">Owner role</t>
  </si>
  <si>
    <t xml:space="preserve">Hours</t>
  </si>
  <si>
    <t xml:space="preserve">Rate (INR/h)</t>
  </si>
  <si>
    <t xml:space="preserve">Cost (INR)</t>
  </si>
  <si>
    <t xml:space="preserve">Category</t>
  </si>
  <si>
    <t xml:space="preserve">Dependencies</t>
  </si>
  <si>
    <t xml:space="preserve">Calendar stage</t>
  </si>
  <si>
    <t xml:space="preserve">WP-01</t>
  </si>
  <si>
    <t xml:space="preserve">Discovery, source audit, requirement freeze</t>
  </si>
  <si>
    <t xml:space="preserve">R0</t>
  </si>
  <si>
    <t xml:space="preserve">Discovery</t>
  </si>
  <si>
    <t xml:space="preserve">—</t>
  </si>
  <si>
    <t xml:space="preserve">WP-02</t>
  </si>
  <si>
    <t xml:space="preserve">UX design system, atlas, accessibility baseline</t>
  </si>
  <si>
    <t xml:space="preserve">Design</t>
  </si>
  <si>
    <t xml:space="preserve">WP-03</t>
  </si>
  <si>
    <t xml:space="preserve">Platform foundation: FastAPI, Postgres, queue, auth, RBAC, audit log, observability</t>
  </si>
  <si>
    <t xml:space="preserve">WP-04</t>
  </si>
  <si>
    <t xml:space="preserve">Workspace &amp; entity model: legal entities, brands, stores, markets, currencies, timezones, periods</t>
  </si>
  <si>
    <t xml:space="preserve">WP-05</t>
  </si>
  <si>
    <t xml:space="preserve">Amazon SP-API read connector: orders, finances, reports, settlements, inventory, inbound</t>
  </si>
  <si>
    <t xml:space="preserve">Connector core</t>
  </si>
  <si>
    <t xml:space="preserve">WP-03, SP-API developer registration</t>
  </si>
  <si>
    <t xml:space="preserve">WP-06</t>
  </si>
  <si>
    <t xml:space="preserve">Raw ledger, event/revision model, idempotent ingestion, replay, reconciliation</t>
  </si>
  <si>
    <t xml:space="preserve">WP-03, WP-05</t>
  </si>
  <si>
    <t xml:space="preserve">WP-07</t>
  </si>
  <si>
    <t xml:space="preserve">Financial engine: fee taxonomy, COGS policies, allocations, FX, period close</t>
  </si>
  <si>
    <t xml:space="preserve">R1</t>
  </si>
  <si>
    <t xml:space="preserve">Financial engine</t>
  </si>
  <si>
    <t xml:space="preserve">WP-06, WP-04</t>
  </si>
  <si>
    <t xml:space="preserve">WP-08</t>
  </si>
  <si>
    <t xml:space="preserve">Profit dashboards: tiles, chart, P&amp;L, trends, map, comparisons, custom tiles</t>
  </si>
  <si>
    <t xml:space="preserve">WP-07, WP-02</t>
  </si>
  <si>
    <t xml:space="preserve">WP-09</t>
  </si>
  <si>
    <t xml:space="preserve">Products, COGS editor, landed-cost elements, imports/exports, sheets feed</t>
  </si>
  <si>
    <t xml:space="preserve">WP-10</t>
  </si>
  <si>
    <t xml:space="preserve">Expenses: indirect, variable/tag-based, recognition schedules, allocations</t>
  </si>
  <si>
    <t xml:space="preserve">WP-11</t>
  </si>
  <si>
    <t xml:space="preserve">Reports &amp; exports: grains, CSV/XLSX, scheduling, Claude-ready bundles</t>
  </si>
  <si>
    <t xml:space="preserve">WP-07, WP-08</t>
  </si>
  <si>
    <t xml:space="preserve">WP-12</t>
  </si>
  <si>
    <t xml:space="preserve">Shopify connector: Admin GraphQL bulk, webhooks, Payments payouts, protected data</t>
  </si>
  <si>
    <t xml:space="preserve">WP-06, Shopify read_all_orders approval</t>
  </si>
  <si>
    <t xml:space="preserve">WP-13</t>
  </si>
  <si>
    <t xml:space="preserve">Shipping/pick-pack/payment-fee profiles; Shopify revenue composition; MCF/WFS dedup; multichannel economics</t>
  </si>
  <si>
    <t xml:space="preserve">WP-12, WP-07</t>
  </si>
  <si>
    <t xml:space="preserve">WP-14</t>
  </si>
  <si>
    <t xml:space="preserve">LTV, repeat customers, cohorts &amp; replenishment cycles (no ad attribution, no campaign analytics)</t>
  </si>
  <si>
    <t xml:space="preserve">R2</t>
  </si>
  <si>
    <t xml:space="preserve">WP-12, WP-07 (no ad attribution in v0.3)</t>
  </si>
  <si>
    <t xml:space="preserve">WP-15</t>
  </si>
  <si>
    <t xml:space="preserve">Inventory: planner, velocity, reorder, POs, suppliers, shipments, prep, reconciliation</t>
  </si>
  <si>
    <t xml:space="preserve">R3</t>
  </si>
  <si>
    <t xml:space="preserve">WP-05, WP-09</t>
  </si>
  <si>
    <t xml:space="preserve">WP-16</t>
  </si>
  <si>
    <t xml:space="preserve">Money Back: reimbursement candidates, eligibility, deadlines, evidence packs, realization</t>
  </si>
  <si>
    <t xml:space="preserve">WP-05, WP-07</t>
  </si>
  <si>
    <t xml:space="preserve">WP-17</t>
  </si>
  <si>
    <t xml:space="preserve">Alerts engine: rules, dedup, priorities, routing, escalation</t>
  </si>
  <si>
    <t xml:space="preserve">Automation</t>
  </si>
  <si>
    <t xml:space="preserve">WP-20</t>
  </si>
  <si>
    <t xml:space="preserve">Automation safety framework for repricer writes: simulation, maker-checker, canary, kill switch, audit, replay</t>
  </si>
  <si>
    <t xml:space="preserve">WP-17, WP-06</t>
  </si>
  <si>
    <t xml:space="preserve">WP-22</t>
  </si>
  <si>
    <t xml:space="preserve">Repricer contract, floors/ROI, price history, observation, simulation (writes conditional)</t>
  </si>
  <si>
    <t xml:space="preserve">R4</t>
  </si>
  <si>
    <t xml:space="preserve">WP-20, WP-07</t>
  </si>
  <si>
    <t xml:space="preserve">WP-23</t>
  </si>
  <si>
    <t xml:space="preserve">Marketplace connectors: Walmart (Marketplace, WFS, Walmart Connect/SEM spend read), eBay, TikTok Shop — orders, fees, settlements, returns, inventory; compat P&amp;L mapping</t>
  </si>
  <si>
    <t xml:space="preserve">Connector extended</t>
  </si>
  <si>
    <t xml:space="preserve">WP-06, WP-07, WP-13, WP-38; Walmart/eBay/TikTok Shop developer access</t>
  </si>
  <si>
    <t xml:space="preserve">WP-24</t>
  </si>
  <si>
    <t xml:space="preserve">Native-feel PWA extras (offline, push), browser extension, localization, accessibility audit</t>
  </si>
  <si>
    <t xml:space="preserve">R5</t>
  </si>
  <si>
    <t xml:space="preserve">WP-08, WP-33</t>
  </si>
  <si>
    <t xml:space="preserve">WP-25</t>
  </si>
  <si>
    <t xml:space="preserve">QuickBooks/accounting export, cashflow, settlement bridge</t>
  </si>
  <si>
    <t xml:space="preserve">WP-07, WP-11</t>
  </si>
  <si>
    <t xml:space="preserve">WP-26</t>
  </si>
  <si>
    <t xml:space="preserve">Optional Anthropic API explain layer (aggregates only), MCP-style read connector</t>
  </si>
  <si>
    <t xml:space="preserve">WP-11, Anthropic API key</t>
  </si>
  <si>
    <t xml:space="preserve">WP-27</t>
  </si>
  <si>
    <t xml:space="preserve">QA, security review, performance, UAT support</t>
  </si>
  <si>
    <t xml:space="preserve">ALL</t>
  </si>
  <si>
    <t xml:space="preserve">QA-security</t>
  </si>
  <si>
    <t xml:space="preserve">Continuous (all releases)</t>
  </si>
  <si>
    <t xml:space="preserve">WP-28</t>
  </si>
  <si>
    <t xml:space="preserve">DevOps, environments, CI/CD, backups, runbooks</t>
  </si>
  <si>
    <t xml:space="preserve">WP-29</t>
  </si>
  <si>
    <t xml:space="preserve">Migration from Sellerboard exports, historical COGS, training, documentation</t>
  </si>
  <si>
    <t xml:space="preserve">WP-09, Sellerboard exports</t>
  </si>
  <si>
    <t xml:space="preserve">WP-30</t>
  </si>
  <si>
    <t xml:space="preserve">Delivery leadership, change control, approvals</t>
  </si>
  <si>
    <t xml:space="preserve">Leadership</t>
  </si>
  <si>
    <t xml:space="preserve">WP-31</t>
  </si>
  <si>
    <t xml:space="preserve">B2B sales module: customer master, manual invoice entry, GST/HSN, credit notes, import, receivables, export invoices</t>
  </si>
  <si>
    <t xml:space="preserve">WP-04, WP-07 (GST/HSN masters)</t>
  </si>
  <si>
    <t xml:space="preserve">WP-32</t>
  </si>
  <si>
    <t xml:space="preserve">Unified dashboard: channel dimension (Amazon/Shopify/B2B/…), account &amp; channel filters, summary tiles, channel mix</t>
  </si>
  <si>
    <t xml:space="preserve">WP-07, WP-08, WP-12, WP-31</t>
  </si>
  <si>
    <t xml:space="preserve">WP-33</t>
  </si>
  <si>
    <t xml:space="preserve">Mobile-first responsive dashboards &amp; installable PWA shell (tiles, P&amp;L, alerts, B2B entry on phone)</t>
  </si>
  <si>
    <t xml:space="preserve">WP-02, WP-08</t>
  </si>
  <si>
    <t xml:space="preserve">WP-34</t>
  </si>
  <si>
    <t xml:space="preserve">Sellerboard-compatible P&amp;L mode, calculation lineage drawer, data freshness/completeness, parallel-run reconciliation</t>
  </si>
  <si>
    <t xml:space="preserve">WP-07, WP-29 (Sellerboard exports)</t>
  </si>
  <si>
    <t xml:space="preserve">WP-35</t>
  </si>
  <si>
    <t xml:space="preserve">Shopify cost completeness: courier/3PL actual costs, RTO/COD, gateway fee table, returns costs, order inclusion rules</t>
  </si>
  <si>
    <t xml:space="preserve">WP-12, WP-13; courier/3PL export (CON-32)</t>
  </si>
  <si>
    <t xml:space="preserve">WP-36</t>
  </si>
  <si>
    <t xml:space="preserve">Multi-entity consolidation: entity hierarchy, FX policies, intercompany elimination, budget/targets</t>
  </si>
  <si>
    <t xml:space="preserve">WP-04, WP-07</t>
  </si>
  <si>
    <t xml:space="preserve">WP-37</t>
  </si>
  <si>
    <t xml:space="preserve">Ad-spend read connectors for profit only: Amazon Ads spend by campaign/product/day, Google Ads and Meta spend; CSV import for any other ad platform (no campaign analytics, no writes)</t>
  </si>
  <si>
    <t xml:space="preserve">WP-03, WP-06; Amazon Ads API access (read), Google/Meta OAuth</t>
  </si>
  <si>
    <t xml:space="preserve">WP-38</t>
  </si>
  <si>
    <t xml:space="preserve">All Amazon marketplaces: NA/EU/FE regions, marketplace master (currency, timezone, tax regime, fee codes), multi-region auth &amp; rate limits, per-marketplace fixtures</t>
  </si>
  <si>
    <t xml:space="preserve">WP-05, WP-07, WP-04 (marketplace master)</t>
  </si>
  <si>
    <t xml:space="preserve">WP-39</t>
  </si>
  <si>
    <t xml:space="preserve">Operations connectors: ShipStation, Flexport/SFN, Veeqo, CJ Dropshipping (read-only)</t>
  </si>
  <si>
    <t xml:space="preserve">WP-06, WP-13; per-connector access</t>
  </si>
  <si>
    <t xml:space="preserve">TOTAL</t>
  </si>
  <si>
    <t xml:space="preserve">Category list (used by other sheets): Discovery, Design, Backend, Frontend, Financial engine, Connector core, Connector extended, Automation, QA-security, DevOps, Migration, Training, Leadership</t>
  </si>
  <si>
    <t xml:space="preserve">Note: 'Training' category has no WP (training is a one-time non-labour allowance on Assumptions); WP-29 covers migration + documentation labour. Categories and dependencies are planning classifications held in build_cost_model.py (not in the register).</t>
  </si>
  <si>
    <t xml:space="preserve">Build summary — by release, initial bounded release vs full parity, by category</t>
  </si>
  <si>
    <t xml:space="preserve">All INR. Contingency = labour × contingency %.</t>
  </si>
  <si>
    <t xml:space="preserve">Labour cost</t>
  </si>
  <si>
    <t xml:space="preserve">Contingency</t>
  </si>
  <si>
    <t xml:space="preserve">Total incl. contingency</t>
  </si>
  <si>
    <t xml:space="preserve">Workspace, entities, connectors read-only, raw ledger, 90-day backfill, no operational wri</t>
  </si>
  <si>
    <t xml:space="preserve">One dashboard for Amazon.in + Shopify India + manual B2B: Sellerboard-compatible P&amp;L, COGS</t>
  </si>
  <si>
    <t xml:space="preserve">UK/US/FR/DE entities and stores, every other Amazon marketplace (NA/EU/FE regions), Walmar</t>
  </si>
  <si>
    <t xml:space="preserve">Inventory planner, POs, suppliers, FBA/WFS shipments, reimbursement candidates (Money Back</t>
  </si>
  <si>
    <t xml:space="preserve">Repricer contract (simulation-first; writes only after approval, maker-checker, canary, ki</t>
  </si>
  <si>
    <t xml:space="preserve">ShipStation/Flexport/SFN/Veeqo/CJ connectors, PWA extras, browser extension, QuickBooks/Ta</t>
  </si>
  <si>
    <t xml:space="preserve">Cross-cutting WPs (QA, DevOps, migration, leadership)</t>
  </si>
  <si>
    <t xml:space="preserve">TOTAL — Full approved parity (all WPs)</t>
  </si>
  <si>
    <t xml:space="preserve">Initial bounded release (R0 + R1 + pro-rata share of ALL WPs by hours)</t>
  </si>
  <si>
    <t xml:space="preserve">Pro-rata factor = (hours R0 + hours R1) ÷ (hours R0..R5, excluding ALL)</t>
  </si>
  <si>
    <t xml:space="preserve">Component</t>
  </si>
  <si>
    <t xml:space="preserve">R0 + R1 direct</t>
  </si>
  <si>
    <t xml:space="preserve">Sum of R0 and R1 rows</t>
  </si>
  <si>
    <t xml:space="preserve">Pro-rata share of ALL WPs</t>
  </si>
  <si>
    <t xml:space="preserve">ALL row × pro-rata factor</t>
  </si>
  <si>
    <t xml:space="preserve">INITIAL BOUNDED RELEASE — total</t>
  </si>
  <si>
    <t xml:space="preserve">FULL APPROVED PARITY — total</t>
  </si>
  <si>
    <t xml:space="preserve">Initial as % of full</t>
  </si>
  <si>
    <t xml:space="preserve">By category</t>
  </si>
  <si>
    <t xml:space="preserve">Share of labour</t>
  </si>
  <si>
    <t xml:space="preserve">Training</t>
  </si>
  <si>
    <t xml:space="preserve">TOTAL (check = full parity)</t>
  </si>
  <si>
    <t xml:space="preserve">Capacity schedule — FTE by role per release = hours ÷ (nominal h/mo × productive factor) ÷ months in release</t>
  </si>
  <si>
    <t xml:space="preserve">Months = calendar weeks × 12/52 (weeks from scope_register.json via Assumptions). FTE &gt; 1.0 flagged (needs more than one person of that role, or a longer calendar).</t>
  </si>
  <si>
    <t xml:space="preserve">Productive hours per FTE-month</t>
  </si>
  <si>
    <t xml:space="preserve">Role</t>
  </si>
  <si>
    <t xml:space="preserve">Flag</t>
  </si>
  <si>
    <t xml:space="preserve">R0 flag</t>
  </si>
  <si>
    <t xml:space="preserve">R1 flag</t>
  </si>
  <si>
    <t xml:space="preserve">R2 flag</t>
  </si>
  <si>
    <t xml:space="preserve">R3 flag</t>
  </si>
  <si>
    <t xml:space="preserve">R4 flag</t>
  </si>
  <si>
    <t xml:space="preserve">R5 flag</t>
  </si>
  <si>
    <t xml:space="preserve">ALL flag</t>
  </si>
  <si>
    <t xml:space="preserve">Calendar weeks</t>
  </si>
  <si>
    <t xml:space="preserve">Months</t>
  </si>
  <si>
    <t xml:space="preserve">Total FTE (role-sum)</t>
  </si>
  <si>
    <t xml:space="preserve">Reading: a value of 1.4 for 'Integration eng' in R1 means the R1 calendar needs 1.4 integration engineers at 120 productive h/month, or the release stretches. ALL column spreads cross-cutting WPs across the full programme (sum of release weeks). v0.3: R1 is 14 weeks and carries WP-07..13, WP-31..35 and WP-37; R2 (14 weeks) carries WP-14, WP-23, WP-36, WP-38.</t>
  </si>
  <si>
    <t xml:space="preserve">Monthly operating cost — line items from Assumptions; low / base / high = scenario multipliers</t>
  </si>
  <si>
    <t xml:space="preserve">INR. Annual = monthly × 12.</t>
  </si>
  <si>
    <t xml:space="preserve">Line item</t>
  </si>
  <si>
    <t xml:space="preserve">Applies from release</t>
  </si>
  <si>
    <t xml:space="preserve">Monthly (base)</t>
  </si>
  <si>
    <t xml:space="preserve">Monthly low</t>
  </si>
  <si>
    <t xml:space="preserve">Monthly high</t>
  </si>
  <si>
    <t xml:space="preserve">Annual base</t>
  </si>
  <si>
    <t xml:space="preserve">Annual low</t>
  </si>
  <si>
    <t xml:space="preserve">Annual high</t>
  </si>
  <si>
    <t xml:space="preserve">Source</t>
  </si>
  <si>
    <t xml:space="preserve">Cloud — compute</t>
  </si>
  <si>
    <t xml:space="preserve">Assumptions sheet</t>
  </si>
  <si>
    <t xml:space="preserve">Cloud — managed Postgres</t>
  </si>
  <si>
    <t xml:space="preserve">Cloud — object storage</t>
  </si>
  <si>
    <t xml:space="preserve">Cloud — jobs / queue</t>
  </si>
  <si>
    <t xml:space="preserve">Cloud — egress</t>
  </si>
  <si>
    <t xml:space="preserve">Cloud — observability</t>
  </si>
  <si>
    <t xml:space="preserve">Cloud — backups / DR</t>
  </si>
  <si>
    <t xml:space="preserve">Cloud — security / landing zone</t>
  </si>
  <si>
    <t xml:space="preserve">Assumptions sheet — NEW v0.2 (handoff review C-28)</t>
  </si>
  <si>
    <t xml:space="preserve">Support / maintenance staff</t>
  </si>
  <si>
    <t xml:space="preserve">Provider / API upgrade allowance</t>
  </si>
  <si>
    <t xml:space="preserve">Security review (annual ÷ 12)</t>
  </si>
  <si>
    <t xml:space="preserve">Software / API — SP-API</t>
  </si>
  <si>
    <t xml:space="preserve">Software / API — Ads API (spend read)</t>
  </si>
  <si>
    <t xml:space="preserve">Assumptions sheet — v0.3: spend read from R1 (WP-37); no PPC analytics</t>
  </si>
  <si>
    <t xml:space="preserve">Software / API — Shopify custom app</t>
  </si>
  <si>
    <t xml:space="preserve">Assumptions sheet — v0.2: R1 (WP-12 moved R2→R1)</t>
  </si>
  <si>
    <t xml:space="preserve">Software / API — other tools</t>
  </si>
  <si>
    <t xml:space="preserve">Software / API — ChatGPT/Codex seats (build tool)</t>
  </si>
  <si>
    <t xml:space="preserve">Assumptions sheet — NEW v0.3 (DC-16; review finding v0.3-13)</t>
  </si>
  <si>
    <t xml:space="preserve">Assumptions sheet — NEW v0.2; ₹0 ASSUMPTION (CON-32 / WP-35)</t>
  </si>
  <si>
    <t xml:space="preserve">AI consumption (Anthropic)</t>
  </si>
  <si>
    <t xml:space="preserve">Optional native / extension upkeep</t>
  </si>
  <si>
    <t xml:space="preserve">TOTAL OpEx — full parity (all lines)</t>
  </si>
  <si>
    <t xml:space="preserve">TOTAL OpEx — initial release (lines applicable ≤ R1)</t>
  </si>
  <si>
    <t xml:space="preserve">Excludes AI consumption and native/extension upkeep (start R5); includes Ads API spend read (₹0), Shopify app and Courier/3PL line (R1)</t>
  </si>
  <si>
    <t xml:space="preserve">of which cloud subtotal</t>
  </si>
  <si>
    <t xml:space="preserve">'Applies from release' (blue) drives which lines count toward the initial-release (R0+R1) OpEx and phased Year-1 on the TCO sheet.</t>
  </si>
  <si>
    <t xml:space="preserve">Total cost of ownership — cash basis; amortization shown as separate memo line (NOT added)</t>
  </si>
  <si>
    <t xml:space="preserve">INR. Build = labour + contingency + one-time non-labour + training. Cash TCO includes the 20% contingency as committed budget; it is shown separately in Build_Summary. OpEx from OpEx_Monthly (initial-release horizons use only lines applicable ≤R1). Low/base/high = scenario multipliers on Assumptions.</t>
  </si>
  <si>
    <t xml:space="preserve">Inputs pulled</t>
  </si>
  <si>
    <t xml:space="preserve">Initial bounded release build (labour + contingency)</t>
  </si>
  <si>
    <t xml:space="preserve">Full approved parity build (labour + contingency)</t>
  </si>
  <si>
    <t xml:space="preserve">One-time non-labour + training</t>
  </si>
  <si>
    <t xml:space="preserve">Monthly OpEx (base) — full parity</t>
  </si>
  <si>
    <t xml:space="preserve">Monthly OpEx (base) — initial release (lines ≤R1)</t>
  </si>
  <si>
    <t xml:space="preserve">Scenario multipliers → </t>
  </si>
  <si>
    <t xml:space="preserve">A. Initial bounded release (R0+R1 + pro-rata ALL) — all build cash in month 0; OpEx lines ≤R1 only</t>
  </si>
  <si>
    <t xml:space="preserve">Horizon</t>
  </si>
  <si>
    <t xml:space="preserve">12-month cash TCO</t>
  </si>
  <si>
    <t xml:space="preserve">(build + one-time) × mult + monthly OpEx × 12 × mult</t>
  </si>
  <si>
    <t xml:space="preserve">24-month cash TCO</t>
  </si>
  <si>
    <t xml:space="preserve">(build + one-time) × mult + monthly OpEx × 24 × mult</t>
  </si>
  <si>
    <t xml:space="preserve">36-month cash TCO</t>
  </si>
  <si>
    <t xml:space="preserve">(build + one-time) × mult + monthly OpEx × 36 × mult</t>
  </si>
  <si>
    <t xml:space="preserve">B. Full approved parity — all build cash in month 0; full OpEx</t>
  </si>
  <si>
    <t xml:space="preserve">C. Phased full parity — R0–R1 in year 1, R2–R3 in year 2, R4–R5 in year 3 (ALL WPs pro-rata by hours per year)</t>
  </si>
  <si>
    <t xml:space="preserve">Year</t>
  </si>
  <si>
    <t xml:space="preserve">Build cash in year (base)</t>
  </si>
  <si>
    <t xml:space="preserve">OpEx in year (base)</t>
  </si>
  <si>
    <t xml:space="preserve">Cumulative cash TCO (base)</t>
  </si>
  <si>
    <t xml:space="preserve">Year 1 (R0+R1)</t>
  </si>
  <si>
    <t xml:space="preserve">release totals incl. contingency + ALL × hours share + one-time; initial-release OpEx (≤R1) × 12</t>
  </si>
  <si>
    <t xml:space="preserve">Year 2 (R2+R3)</t>
  </si>
  <si>
    <t xml:space="preserve">release totals incl. contingency + ALL × hours share; OpEx lines ≤R1 × 12 (R5-only lines not yet live)</t>
  </si>
  <si>
    <t xml:space="preserve">Year 3 (R4+R5)</t>
  </si>
  <si>
    <t xml:space="preserve">release totals incl. contingency + ALL × hours share; full OpEx × 12</t>
  </si>
  <si>
    <t xml:space="preserve">Check: phased build sum = full parity build + one-time (phased TCO &lt; B because Years 1–2 OpEx use the ≤R1 subset; phasing is illustrative — calendar is 62 weeks if sequential)</t>
  </si>
  <si>
    <t xml:space="preserve">Phased 36-month cash TCO — low / base / high</t>
  </si>
  <si>
    <t xml:space="preserve">MEMO — amortization (NOT cash, NOT added to TCO above)</t>
  </si>
  <si>
    <t xml:space="preserve">Approved CapEx</t>
  </si>
  <si>
    <t xml:space="preserve">Cumulative amortization</t>
  </si>
  <si>
    <t xml:space="preserve">Net book value</t>
  </si>
  <si>
    <t xml:space="preserve">12 months</t>
  </si>
  <si>
    <t xml:space="preserve">Straight-line over Assumptions amortization years, on approved CapEx only (default 0)</t>
  </si>
  <si>
    <t xml:space="preserve">24 months</t>
  </si>
  <si>
    <t xml:space="preserve">36 months</t>
  </si>
  <si>
    <t xml:space="preserve">Accounting boundary — CapEx-candidate (development) vs expensed, by WP category</t>
  </si>
  <si>
    <t xml:space="preserve">Candidate-qualifying % is a judgement INPUT per category (blue). Actual capitalization requires CFO approval; default approved % = 0.</t>
  </si>
  <si>
    <t xml:space="preserve">Candidate-qualifying %</t>
  </si>
  <si>
    <t xml:space="preserve">Candidate-qualifying cost</t>
  </si>
  <si>
    <t xml:space="preserve">Expensed cost</t>
  </si>
  <si>
    <t xml:space="preserve">Rationale (planning judgement — not accounting advice)</t>
  </si>
  <si>
    <t xml:space="preserve">Research phase — expensed (IAS 38.54)</t>
  </si>
  <si>
    <t xml:space="preserve">UX design of the application — development; 20% exploratory</t>
  </si>
  <si>
    <t xml:space="preserve">Development of the asset; 10% spikes / rework (incl. WP-31 B2B module)</t>
  </si>
  <si>
    <t xml:space="preserve">Development (incl. WP-33 mobile-first PWA shell)</t>
  </si>
  <si>
    <t xml:space="preserve">Development (incl. WP-32, WP-34, WP-36)</t>
  </si>
  <si>
    <t xml:space="preserve">Development (incl. WP-35 Shopify cost completeness)</t>
  </si>
  <si>
    <t xml:space="preserve">Development (R5)</t>
  </si>
  <si>
    <t xml:space="preserve">Development</t>
  </si>
  <si>
    <t xml:space="preserve">Testing during development qualifies; UAT support &amp; security review share expensed</t>
  </si>
  <si>
    <t xml:space="preserve">Environment build qualifies; run/operate share expensed</t>
  </si>
  <si>
    <t xml:space="preserve">Data conversion &amp; documentation — expensed</t>
  </si>
  <si>
    <t xml:space="preserve">Training — expensed (IAS 38.69)</t>
  </si>
  <si>
    <t xml:space="preserve">Directly attributable PM share; change control / approvals expensed</t>
  </si>
  <si>
    <t xml:space="preserve">TOTAL labour</t>
  </si>
  <si>
    <t xml:space="preserve">Resulting classification (full parity)</t>
  </si>
  <si>
    <t xml:space="preserve">Set on Assumptions after CFO review; default 0</t>
  </si>
  <si>
    <t xml:space="preserve">CapEx (approved) = candidate-qualifying × approved %</t>
  </si>
  <si>
    <t xml:space="preserve">Expense = total labour − CapEx approved</t>
  </si>
  <si>
    <t xml:space="preserve">Contingency reserve (committed budget; classified when drawn)</t>
  </si>
  <si>
    <t xml:space="preserve">One-time non-labour (laptops/licences) — expensed or PPE per policy</t>
  </si>
  <si>
    <t xml:space="preserve">Training — expensed</t>
  </si>
  <si>
    <t xml:space="preserve">Amortization (only on approved CapEx)</t>
  </si>
  <si>
    <t xml:space="preserve">Amortization years</t>
  </si>
  <si>
    <t xml:space="preserve">Annual straight-line amortization</t>
  </si>
  <si>
    <t xml:space="preserve">Monthly amortization</t>
  </si>
  <si>
    <t xml:space="preserve">Ind AS 38 / IAS 38 (para 57) — development costs may be capitalized only when ALL six criteria are demonstrated:</t>
  </si>
  <si>
    <t xml:space="preserve">1) technical feasibility of completing the asset; 2) intention to complete and use it; 3) ability to use it; 4) how it will generate probable future economic benefits;</t>
  </si>
  <si>
    <t xml:space="preserve">5) availability of adequate technical, financial and other resources to complete; 6) ability to measure attributable expenditure reliably.</t>
  </si>
  <si>
    <t xml:space="preserve">Research-phase (discovery), training, data migration/conversion, and post-implementation maintenance are expensed. Percentages above are planning judgements for a CFO / auditor review, not accounting advice.</t>
  </si>
  <si>
    <t xml:space="preserve">Cash TCO on the TCO sheet is unaffected by this classification; amortization is shown there as a separate memo line.</t>
  </si>
  <si>
    <t xml:space="preserve">Build vs buy — existing Sellerboard spend vs in-house app OpEx; payback on benefit threshold</t>
  </si>
  <si>
    <t xml:space="preserve">Benefit default 0 → payback shows 'N/A (benefit unproven)'. Excluded from both sides: ad spend, stock, fulfilment, GST.</t>
  </si>
  <si>
    <t xml:space="preserve">Item</t>
  </si>
  <si>
    <t xml:space="preserve">Monthly (INR)</t>
  </si>
  <si>
    <t xml:space="preserve">Annual (INR)</t>
  </si>
  <si>
    <t xml:space="preserve">Sellerboard (sellerboard.com) = accounts × USD/mo × FX</t>
  </si>
  <si>
    <t xml:space="preserve">OBSERVED: $39/mo Business plan on sellerboard.com; 3 accounts</t>
  </si>
  <si>
    <t xml:space="preserve">Sellerboard (sellerboard.io) = Shopify stores × USD/mo × FX</t>
  </si>
  <si>
    <t xml:space="preserve">ASSUMPTION: sellerboard.io plan unknown → $39/mo assumed; 1 Shopify store</t>
  </si>
  <si>
    <t xml:space="preserve">Sellerboard spend — total</t>
  </si>
  <si>
    <t xml:space="preserve">In-house app OpEx (base) — full parity</t>
  </si>
  <si>
    <t xml:space="preserve">From OpEx_Monthly</t>
  </si>
  <si>
    <t xml:space="preserve">Monthly OpEx delta (app − Sellerboard)</t>
  </si>
  <si>
    <t xml:space="preserve">Positive = app costs more to run than Sellerboard</t>
  </si>
  <si>
    <t xml:space="preserve">Sellerboard spend as % of app OpEx</t>
  </si>
  <si>
    <t xml:space="preserve">Payback</t>
  </si>
  <si>
    <t xml:space="preserve">Monthly benefit threshold (INR) — from Assumptions</t>
  </si>
  <si>
    <t xml:space="preserve">Default 0 = unproven. Enter only evidenced margin gains / savings.</t>
  </si>
  <si>
    <t xml:space="preserve">Net monthly benefit = benefit − OpEx delta</t>
  </si>
  <si>
    <t xml:space="preserve">Payback (months) — initial bounded release</t>
  </si>
  <si>
    <t xml:space="preserve">Formula: (build incl. contingency + one-time) ÷ net monthly benefit</t>
  </si>
  <si>
    <t xml:space="preserve">Payback (months) — full parity</t>
  </si>
  <si>
    <t xml:space="preserve">Monthly benefit needed for 36-month payback (full parity)</t>
  </si>
  <si>
    <t xml:space="preserve">Reference: benefit that would be required, not a forecast</t>
  </si>
  <si>
    <t xml:space="preserve">Excluded costs on both sides: advertising spend, inventory/stock purchases, fulfilment &amp; shipping fees, marketplace commissions, GST, office overhead.</t>
  </si>
  <si>
    <t xml:space="preserve">Sellerboard replacement is not cost-driven at these figures: the app's OpEx alone exceeds the combined sellerboard.com + sellerboard.io subscription many times over; the case rests on evidenced benefits (data ownership, India-first fee taxonomy, unified Amazon + Shopify + B2B view, automation with maker-checker) that this sheet treats as unproven until entered.</t>
  </si>
  <si>
    <t xml:space="preserve">Sensitivity — effect on 36-month cash TCO (full parity, base scenario)</t>
  </si>
  <si>
    <t xml:space="preserve">Each row varies one driver from the base; all formulas reference TCO and OpEx sheets. Multipliers in column B are BLUE inputs.</t>
  </si>
  <si>
    <t xml:space="preserve">Base 36-month TCO (full parity, base)</t>
  </si>
  <si>
    <t xml:space="preserve">Labour incl. contingency (full parity)</t>
  </si>
  <si>
    <t xml:space="preserve">Cloud monthly (base)</t>
  </si>
  <si>
    <t xml:space="preserve">AI monthly (base)</t>
  </si>
  <si>
    <t xml:space="preserve">Case</t>
  </si>
  <si>
    <t xml:space="preserve">Multiplier</t>
  </si>
  <si>
    <t xml:space="preserve">Δ 36-month TCO</t>
  </si>
  <si>
    <t xml:space="preserve">36-month TCO</t>
  </si>
  <si>
    <t xml:space="preserve">Δ %</t>
  </si>
  <si>
    <t xml:space="preserve">Mechanism</t>
  </si>
  <si>
    <t xml:space="preserve">Hourly rates −20%</t>
  </si>
  <si>
    <t xml:space="preserve">labour × (mult − 1)</t>
  </si>
  <si>
    <t xml:space="preserve">Hourly rates +20%</t>
  </si>
  <si>
    <t xml:space="preserve">Hours −30%</t>
  </si>
  <si>
    <t xml:space="preserve">Hours +30%</t>
  </si>
  <si>
    <t xml:space="preserve">Cloud −40%</t>
  </si>
  <si>
    <t xml:space="preserve">cloud monthly × 36 × (mult − 1)</t>
  </si>
  <si>
    <t xml:space="preserve">Cloud +40%</t>
  </si>
  <si>
    <t xml:space="preserve">AI tokens ×0.5</t>
  </si>
  <si>
    <t xml:space="preserve">AI monthly × 36 × (mult − 1)</t>
  </si>
  <si>
    <t xml:space="preserve">AI tokens ×3</t>
  </si>
  <si>
    <t xml:space="preserve">Combined worst case (rates +20%, hours +30%, cloud +40%, AI ×3)</t>
  </si>
  <si>
    <t xml:space="preserve">Multiplicative on labour (rate × hours multiplier cells); additive on OpEx drivers — references the multiplier cells above</t>
  </si>
  <si>
    <t xml:space="preserve">Note: rate and hours cases scale labour and its contingency together (contingency is a % of labour).</t>
  </si>
  <si>
    <t xml:space="preserve">Traceability — WP → release → features (count from Features_Ref) → calculations / connectors</t>
  </si>
  <si>
    <t xml:space="preserve">Feature counts are COUNTIF formulas over Features_Ref (WP column). Calc/connector lists are text extracted from scope_register.json (union over the WP's features).</t>
  </si>
  <si>
    <t xml:space="preserve">Features (count)</t>
  </si>
  <si>
    <t xml:space="preserve">Calculations (CALC ids)</t>
  </si>
  <si>
    <t xml:space="preserve">Connectors (CON ids)</t>
  </si>
  <si>
    <t xml:space="preserve">CALC-026</t>
  </si>
  <si>
    <t xml:space="preserve">CON-01</t>
  </si>
  <si>
    <t xml:space="preserve">CALC-003, CALC-004, CALC-007, CALC-009, CALC-023, CALC-024, CALC-025, CALC-053, CALC-054, CALC-067, CALC-079, CALC-080, CALC-082, CALC-109</t>
  </si>
  <si>
    <t xml:space="preserve">CALC-001, CALC-002, CALC-003, CALC-010, CALC-012, CALC-013, CALC-014, CALC-015, CALC-016, CALC-017, CALC-018, CALC-019, CALC-026, CALC-030, CALC-031, CALC-045, CALC-048, CALC-050, CALC-051, CALC-052, CALC-053, CALC-054, CALC-059, CALC-072, CALC-081, CALC-085, CALC-101, CALC-108, CALC-111</t>
  </si>
  <si>
    <t xml:space="preserve">CALC-005, CALC-006, CALC-007, CALC-008, CALC-066, CALC-078, CALC-087</t>
  </si>
  <si>
    <t xml:space="preserve">CON-23</t>
  </si>
  <si>
    <t xml:space="preserve">CALC-011, CALC-024, CALC-091</t>
  </si>
  <si>
    <t xml:space="preserve">CALC-035, CALC-083</t>
  </si>
  <si>
    <t xml:space="preserve">CON-05, CON-06</t>
  </si>
  <si>
    <t xml:space="preserve">CALC-020, CALC-021, CALC-022, CALC-047, CALC-052, CALC-076</t>
  </si>
  <si>
    <t xml:space="preserve">CON-05, CON-06, CON-32</t>
  </si>
  <si>
    <t xml:space="preserve">CALC-033, CALC-034, CALC-035, CALC-036, CALC-084, CALC-106</t>
  </si>
  <si>
    <t xml:space="preserve">CON-05, CON-29</t>
  </si>
  <si>
    <t xml:space="preserve">CALC-037, CALC-038, CALC-039, CALC-040, CALC-062, CALC-063, CALC-064, CALC-065, CALC-086, CALC-089, CALC-092</t>
  </si>
  <si>
    <t xml:space="preserve">CON-01, CON-05, CON-16</t>
  </si>
  <si>
    <t xml:space="preserve">CALC-044, CALC-068, CALC-069, CALC-070, CALC-071</t>
  </si>
  <si>
    <t xml:space="preserve">CALC-043</t>
  </si>
  <si>
    <t xml:space="preserve">CALC-041, CALC-075</t>
  </si>
  <si>
    <t xml:space="preserve">CALC-041</t>
  </si>
  <si>
    <t xml:space="preserve">CON-01, CON-25</t>
  </si>
  <si>
    <t xml:space="preserve">CALC-067, CALC-079, CALC-114</t>
  </si>
  <si>
    <t xml:space="preserve">CON-05, CON-07, CON-11, CON-16, CON-17, CON-18, CON-29</t>
  </si>
  <si>
    <t xml:space="preserve">CALC-027, CALC-073</t>
  </si>
  <si>
    <t xml:space="preserve">CON-01, CON-27</t>
  </si>
  <si>
    <t xml:space="preserve">CON-28</t>
  </si>
  <si>
    <t xml:space="preserve">CALC-026, CALC-092, CALC-093, CALC-094, CALC-095, CALC-096, CALC-097, CALC-098, CALC-099, CALC-100, CALC-102, CALC-103</t>
  </si>
  <si>
    <t xml:space="preserve">CON-33</t>
  </si>
  <si>
    <t xml:space="preserve">CALC-050, CALC-051, CALC-097, CALC-100, CALC-101, CALC-110</t>
  </si>
  <si>
    <t xml:space="preserve">CON-01, CON-05</t>
  </si>
  <si>
    <t xml:space="preserve">CALC-043, CALC-050, CALC-051, CALC-052</t>
  </si>
  <si>
    <t xml:space="preserve">CALC-022, CALC-077, CALC-090, CALC-104, CALC-105</t>
  </si>
  <si>
    <t xml:space="preserve">CALC-107</t>
  </si>
  <si>
    <t xml:space="preserve">CALC-059, CALC-079, CALC-091</t>
  </si>
  <si>
    <t xml:space="preserve">CON-02, CON-08, CON-09</t>
  </si>
  <si>
    <t xml:space="preserve">CALC-026, CALC-067, CALC-092, CALC-113</t>
  </si>
  <si>
    <t xml:space="preserve">CON-19, CON-20, CON-21, CON-22</t>
  </si>
  <si>
    <t xml:space="preserve">Features in register (COUNTA of Features_Ref)</t>
  </si>
  <si>
    <t xml:space="preserve">Features without WP mapping (NA + OMITTED v0.3)</t>
  </si>
  <si>
    <t xml:space="preserve">Feature→WP links counted (= TOTAL above)</t>
  </si>
  <si>
    <t xml:space="preserve">Register feature count (scope_register.json v0.3)</t>
  </si>
  <si>
    <t xml:space="preserve">Check: COUNTA = register and links + unmapped = features</t>
  </si>
  <si>
    <t xml:space="preserve">Features by release (COUNTIF over Features_Ref)</t>
  </si>
  <si>
    <t xml:space="preserve">Rel.</t>
  </si>
  <si>
    <t xml:space="preserve">IN</t>
  </si>
  <si>
    <t xml:space="preserve">COND.</t>
  </si>
  <si>
    <t xml:space="preserve">NA</t>
  </si>
  <si>
    <t xml:space="preserve">Total</t>
  </si>
  <si>
    <t xml:space="preserve">OMITTED</t>
  </si>
  <si>
    <t xml:space="preserve">Read-only pilot &amp; foundations</t>
  </si>
  <si>
    <t xml:space="preserve">India-first unified profit core</t>
  </si>
  <si>
    <t xml:space="preserve">All markets &amp; marketplaces</t>
  </si>
  <si>
    <t xml:space="preserve">Operations</t>
  </si>
  <si>
    <t xml:space="preserve">Pricing automation (conditional)</t>
  </si>
  <si>
    <t xml:space="preserve">Extended operations connectors &amp; clients</t>
  </si>
  <si>
    <t xml:space="preserve">No release (NA / not applicable)</t>
  </si>
  <si>
    <t xml:space="preserve">Note: each feature maps to at most one WP; OMITTED features (marketing, v0.3) carry no WP link and no cost; WP-01/02/27–30 carry no features directly (cross-cutting). Connector releases per register: CON-01:R0, CON-02:R1, CON-03:—, CON-04:—, CON-05:R1, CON-06:R1, CON-07:R2, CON-08:R1, CON-09:R1, CON-10:—, CON-11:R2, CON-12:—, CON-13:—, CON-14:—, CON-15:—, CON-16:R2, CON-17:R2, CON-18:R2, CON-19:R5, CON-20:R5, CON-21:R5, CON-22:R5, CON-23:R1, CON-24:—, CON-25:R4, CON-26:—, CON-27:R5, CON-28:R5, CON-29:R2, CON-32:R1, CON-33:R5. Stubs (no release): CON-30, CON-31. Omitted connectors show release '—'.</t>
  </si>
  <si>
    <t xml:space="preserve">Feature extract from scope_register.json v0.3 (172 features; data for Traceability counts) — do not edit</t>
  </si>
  <si>
    <t xml:space="preserve">Feature</t>
  </si>
  <si>
    <t xml:space="preserve">Domain</t>
  </si>
  <si>
    <t xml:space="preserve">Disposition</t>
  </si>
  <si>
    <t xml:space="preserve">Calcs</t>
  </si>
  <si>
    <t xml:space="preserve">Connectors</t>
  </si>
  <si>
    <t xml:space="preserve">F-A01</t>
  </si>
  <si>
    <t xml:space="preserve">A</t>
  </si>
  <si>
    <t xml:space="preserve">Login with MFA (authenticator app, e-mail), session policy</t>
  </si>
  <si>
    <t xml:space="preserve">F-A02</t>
  </si>
  <si>
    <t xml:space="preserve">Multi-workspace / multi-account switcher</t>
  </si>
  <si>
    <t xml:space="preserve">F-A03</t>
  </si>
  <si>
    <t xml:space="preserve">Legal entities, brands, stores, marketplaces, warehouses config</t>
  </si>
  <si>
    <t xml:space="preserve">F-A04</t>
  </si>
  <si>
    <t xml:space="preserve">Currencies, timezones, target periods per store</t>
  </si>
  <si>
    <t xml:space="preserve">F-A05</t>
  </si>
  <si>
    <t xml:space="preserve">Summary dashboard across accounts</t>
  </si>
  <si>
    <t xml:space="preserve">CALC-013,CALC-051,CALC-101</t>
  </si>
  <si>
    <t xml:space="preserve">F-A06</t>
  </si>
  <si>
    <t xml:space="preserve">User invitations &amp; roles by function/product/market</t>
  </si>
  <si>
    <t xml:space="preserve">F-A07</t>
  </si>
  <si>
    <t xml:space="preserve">Safe demo mode (synthetic data)</t>
  </si>
  <si>
    <t xml:space="preserve">F-A08</t>
  </si>
  <si>
    <t xml:space="preserve">Data retention &amp; lifecycle settings</t>
  </si>
  <si>
    <t xml:space="preserve">F-A09</t>
  </si>
  <si>
    <t xml:space="preserve">Personalization: dark/light, remembered views, column pickers</t>
  </si>
  <si>
    <t xml:space="preserve">F-A10</t>
  </si>
  <si>
    <t xml:space="preserve">Vendor SaaS billing / subscription</t>
  </si>
  <si>
    <t xml:space="preserve">F-B01</t>
  </si>
  <si>
    <t xml:space="preserve">B</t>
  </si>
  <si>
    <t xml:space="preserve">Profit tiles Today/Yesterday/MTD/Forecast/Last month with comparisons</t>
  </si>
  <si>
    <t xml:space="preserve">CALC-002,CALC-013,CALC-045,CALC-108</t>
  </si>
  <si>
    <t xml:space="preserve">F-B02</t>
  </si>
  <si>
    <t xml:space="preserve">Tile 'More' P&amp;L drilldown (expandable lines, fee breakdown)</t>
  </si>
  <si>
    <t xml:space="preserve">CALC-001,CALC-003,CALC-010,CALC-012,CALC-015,CALC-019,CALC-050,CALC-051,CALC-052</t>
  </si>
  <si>
    <t xml:space="preserve">F-B03</t>
  </si>
  <si>
    <t xml:space="preserve">Chart view (units/ads/refunds/net profit) with configuration</t>
  </si>
  <si>
    <t xml:space="preserve">F-B04</t>
  </si>
  <si>
    <t xml:space="preserve">P&amp;L table by day/month with heatmap and compare/YoY</t>
  </si>
  <si>
    <t xml:space="preserve">CALC-013,CALC-050,CALC-051,CALC-108</t>
  </si>
  <si>
    <t xml:space="preserve">F-B05</t>
  </si>
  <si>
    <t xml:space="preserve">Trends per product per metric with forecast column</t>
  </si>
  <si>
    <t xml:space="preserve">CALC-030,CALC-031,CALC-108</t>
  </si>
  <si>
    <t xml:space="preserve">F-B06</t>
  </si>
  <si>
    <t xml:space="preserve">Map / region view (sales, stock)</t>
  </si>
  <si>
    <t xml:space="preserve">CALC-111</t>
  </si>
  <si>
    <t xml:space="preserve">F-B07</t>
  </si>
  <si>
    <t xml:space="preserve">Products/Order-items tables with group-by, search, sort, column picker, export</t>
  </si>
  <si>
    <t xml:space="preserve">F-B08</t>
  </si>
  <si>
    <t xml:space="preserve">Custom dashboard tiles (up to 8 metrics)</t>
  </si>
  <si>
    <t xml:space="preserve">F-B09</t>
  </si>
  <si>
    <t xml:space="preserve">Targets, ASP, AOV, sessions/conversion, payout estimate</t>
  </si>
  <si>
    <t xml:space="preserve">CALC-014,CALC-016,CALC-017,CALC-018,CALC-048,CALC-053,CALC-054</t>
  </si>
  <si>
    <t xml:space="preserve">F-B10</t>
  </si>
  <si>
    <t xml:space="preserve">Amazon / Shopify / other-channel dashboard views</t>
  </si>
  <si>
    <t xml:space="preserve">F-B11</t>
  </si>
  <si>
    <t xml:space="preserve">Dashboard currency switch</t>
  </si>
  <si>
    <t xml:space="preserve">CALC-026,CALC-081</t>
  </si>
  <si>
    <t xml:space="preserve">F-C01</t>
  </si>
  <si>
    <t xml:space="preserve">C</t>
  </si>
  <si>
    <t xml:space="preserve">COGS policies: fixed, percentage, by period, batch, FIFO, weighted average</t>
  </si>
  <si>
    <t xml:space="preserve">CALC-005,CALC-006,CALC-007,CALC-078</t>
  </si>
  <si>
    <t xml:space="preserve">F-C02</t>
  </si>
  <si>
    <t xml:space="preserve">FIFO oversold policy (last batch / zero / fixed) + alert</t>
  </si>
  <si>
    <t xml:space="preserve">CALC-007</t>
  </si>
  <si>
    <t xml:space="preserve">F-C03</t>
  </si>
  <si>
    <t xml:space="preserve">Landed-cost elements per batch</t>
  </si>
  <si>
    <t xml:space="preserve">CALC-008</t>
  </si>
  <si>
    <t xml:space="preserve">F-C04</t>
  </si>
  <si>
    <t xml:space="preserve">SKU/ASIN/variant mapping, multi-channel COGS tab</t>
  </si>
  <si>
    <t xml:space="preserve">CALC-066,CALC-087</t>
  </si>
  <si>
    <t xml:space="preserve">F-C05</t>
  </si>
  <si>
    <t xml:space="preserve">Bundles / BOM</t>
  </si>
  <si>
    <t xml:space="preserve">CALC-005</t>
  </si>
  <si>
    <t xml:space="preserve">F-C06</t>
  </si>
  <si>
    <t xml:space="preserve">COGS import/export (CSV/XLSX), multi-product batch</t>
  </si>
  <si>
    <t xml:space="preserve">F-C07</t>
  </si>
  <si>
    <t xml:space="preserve">Recurring COGS feed from Google Sheets / URL (daily)</t>
  </si>
  <si>
    <t xml:space="preserve">CALC-087</t>
  </si>
  <si>
    <t xml:space="preserve">F-C08</t>
  </si>
  <si>
    <t xml:space="preserve">Missing/zero COGS detection and alert</t>
  </si>
  <si>
    <t xml:space="preserve">F-C09</t>
  </si>
  <si>
    <t xml:space="preserve">Cost-change history, preview, closed-period effect</t>
  </si>
  <si>
    <t xml:space="preserve">CALC-024</t>
  </si>
  <si>
    <t xml:space="preserve">F-D01</t>
  </si>
  <si>
    <t xml:space="preserve">D</t>
  </si>
  <si>
    <t xml:space="preserve">Marketplace fee taxonomy incl. India-specific (TDS, affordability, technology, closing) &amp; unknown codes</t>
  </si>
  <si>
    <t xml:space="preserve">CALC-003,CALC-067,CALC-109</t>
  </si>
  <si>
    <t xml:space="preserve">F-D02</t>
  </si>
  <si>
    <t xml:space="preserve">Refunds: partial, refund-without-return, unsellable, fee/tax reversals</t>
  </si>
  <si>
    <t xml:space="preserve">CALC-004,CALC-009,CALC-053,CALC-054,CALC-082</t>
  </si>
  <si>
    <t xml:space="preserve">F-D03</t>
  </si>
  <si>
    <t xml:space="preserve">Actual vs estimated shipping; ShipStation actuals</t>
  </si>
  <si>
    <t xml:space="preserve">CALC-020</t>
  </si>
  <si>
    <t xml:space="preserve">CON-32</t>
  </si>
  <si>
    <t xml:space="preserve">F-D04</t>
  </si>
  <si>
    <t xml:space="preserve">Shipping profiles (zones/weight/value/units); highest-vs-sum mixed orders</t>
  </si>
  <si>
    <t xml:space="preserve">F-D05</t>
  </si>
  <si>
    <t xml:space="preserve">Pick &amp; pack per order/item, first-X-items rate</t>
  </si>
  <si>
    <t xml:space="preserve">CALC-021</t>
  </si>
  <si>
    <t xml:space="preserve">F-D06</t>
  </si>
  <si>
    <t xml:space="preserve">Gateway / POS / payment fees</t>
  </si>
  <si>
    <t xml:space="preserve">CALC-022</t>
  </si>
  <si>
    <t xml:space="preserve">CON-06</t>
  </si>
  <si>
    <t xml:space="preserve">F-D07</t>
  </si>
  <si>
    <t xml:space="preserve">Indirect expenses: one-off/recurring/daily; multi-marketplace; tag/SKU</t>
  </si>
  <si>
    <t xml:space="preserve">F-D08</t>
  </si>
  <si>
    <t xml:space="preserve">Variable / tag-based expenses with conditions and validity</t>
  </si>
  <si>
    <t xml:space="preserve">CALC-011,CALC-091</t>
  </si>
  <si>
    <t xml:space="preserve">F-D09</t>
  </si>
  <si>
    <t xml:space="preserve">Fee amortization (daily) for storage/inbound/removal etc.</t>
  </si>
  <si>
    <t xml:space="preserve">F-D10</t>
  </si>
  <si>
    <t xml:space="preserve">Cross-market allocations &amp; conservation</t>
  </si>
  <si>
    <t xml:space="preserve">CALC-023</t>
  </si>
  <si>
    <t xml:space="preserve">F-D11</t>
  </si>
  <si>
    <t xml:space="preserve">GST/TCS/VAT recoverability &amp; marketplace-facilitator split</t>
  </si>
  <si>
    <t xml:space="preserve">CALC-025</t>
  </si>
  <si>
    <t xml:space="preserve">F-E01</t>
  </si>
  <si>
    <t xml:space="preserve">E</t>
  </si>
  <si>
    <t xml:space="preserve">PPC dashboard portfolio→campaign→ad group→keyword→search term with profit &amp; break-even ACOS</t>
  </si>
  <si>
    <t xml:space="preserve">CALC-028,CALC-029</t>
  </si>
  <si>
    <t xml:space="preserve">CON-02</t>
  </si>
  <si>
    <t xml:space="preserve">F-E02</t>
  </si>
  <si>
    <t xml:space="preserve">Real ACOS / TACOS product-scoped on trends</t>
  </si>
  <si>
    <t xml:space="preserve">CALC-030,CALC-031</t>
  </si>
  <si>
    <t xml:space="preserve">F-E03</t>
  </si>
  <si>
    <t xml:space="preserve">Bid recommendations, harvesting, negatives, budget adjustments, isolation</t>
  </si>
  <si>
    <t xml:space="preserve">CALC-088,CALC-112</t>
  </si>
  <si>
    <t xml:space="preserve">CON-26</t>
  </si>
  <si>
    <t xml:space="preserve">F-E04</t>
  </si>
  <si>
    <t xml:space="preserve">Automation: manual approval / autopilot; day parting (beta)</t>
  </si>
  <si>
    <t xml:space="preserve">F-E05</t>
  </si>
  <si>
    <t xml:space="preserve">Automation log completed/pending (repricer writes only)</t>
  </si>
  <si>
    <t xml:space="preserve">F-E06</t>
  </si>
  <si>
    <t xml:space="preserve">External ads (Google/Meta/TikTok/Snap/Pinterest/Taboola) spend + UTM/session attribution</t>
  </si>
  <si>
    <t xml:space="preserve">CALC-032</t>
  </si>
  <si>
    <t xml:space="preserve">CON-08..CON-14</t>
  </si>
  <si>
    <t xml:space="preserve">F-E07</t>
  </si>
  <si>
    <t xml:space="preserve">Amazon Attribution external traffic</t>
  </si>
  <si>
    <t xml:space="preserve">CON-04</t>
  </si>
  <si>
    <t xml:space="preserve">F-E08</t>
  </si>
  <si>
    <t xml:space="preserve">Search-term performance (Brand Analytics)</t>
  </si>
  <si>
    <t xml:space="preserve">CALC-074</t>
  </si>
  <si>
    <t xml:space="preserve">CON-03</t>
  </si>
  <si>
    <t xml:space="preserve">F-E09</t>
  </si>
  <si>
    <t xml:space="preserve">Keyword research</t>
  </si>
  <si>
    <t xml:space="preserve">F-E10</t>
  </si>
  <si>
    <t xml:space="preserve">Product/ad mapping &amp; organic vs paid split</t>
  </si>
  <si>
    <t xml:space="preserve">CALC-031,CALC-049</t>
  </si>
  <si>
    <t xml:space="preserve">F-E11</t>
  </si>
  <si>
    <t xml:space="preserve">First-party cookie / Shopify customerJourneySummary attribution</t>
  </si>
  <si>
    <t xml:space="preserve">CON-05</t>
  </si>
  <si>
    <t xml:space="preserve">F-F01</t>
  </si>
  <si>
    <t xml:space="preserve">F</t>
  </si>
  <si>
    <t xml:space="preserve">LTV per buyer (sales, units, orders) 3/6/12/24 months, per product</t>
  </si>
  <si>
    <t xml:space="preserve">CALC-033</t>
  </si>
  <si>
    <t xml:space="preserve">F-F02</t>
  </si>
  <si>
    <t xml:space="preserve">Cohorts, retention, repeat rate, time-to-second purchase, CAC, payback with maturity flags</t>
  </si>
  <si>
    <t xml:space="preserve">CALC-034,CALC-035,CALC-036</t>
  </si>
  <si>
    <t xml:space="preserve">F-F03</t>
  </si>
  <si>
    <t xml:space="preserve">Repeat customers report (by brand)</t>
  </si>
  <si>
    <t xml:space="preserve">CALC-035,CALC-083</t>
  </si>
  <si>
    <t xml:space="preserve">F-F04</t>
  </si>
  <si>
    <t xml:space="preserve">Subscription contracts vs repeat orders (SnS count observed)</t>
  </si>
  <si>
    <t xml:space="preserve">CONDITIONAL</t>
  </si>
  <si>
    <t xml:space="preserve">CON-29</t>
  </si>
  <si>
    <t xml:space="preserve">F-G01</t>
  </si>
  <si>
    <t xml:space="preserve">G</t>
  </si>
  <si>
    <t xml:space="preserve">Inventory by warehouse / fulfillment mode; reserved, saleable, damaged, prep, inbound, ordered</t>
  </si>
  <si>
    <t xml:space="preserve">CALC-040</t>
  </si>
  <si>
    <t xml:space="preserve">F-G02</t>
  </si>
  <si>
    <t xml:space="preserve">Stock value &amp; age, velocity, days of cover, safety stock, lead time</t>
  </si>
  <si>
    <t xml:space="preserve">CALC-037,CALC-038</t>
  </si>
  <si>
    <t xml:space="preserve">F-G03</t>
  </si>
  <si>
    <t xml:space="preserve">Reorder alerts / action-required with funds needed &amp; profit at risk</t>
  </si>
  <si>
    <t xml:space="preserve">CALC-039</t>
  </si>
  <si>
    <t xml:space="preserve">F-G04</t>
  </si>
  <si>
    <t xml:space="preserve">Purchase orders (draft/ordered/shipped), suppliers (multi-currency), receiving, MOQ/carton</t>
  </si>
  <si>
    <t xml:space="preserve">F-G05</t>
  </si>
  <si>
    <t xml:space="preserve">FBA / inbound shipment tracking, % received, discrepancies</t>
  </si>
  <si>
    <t xml:space="preserve">F-G06</t>
  </si>
  <si>
    <t xml:space="preserve">Prep-center stock auto-reduction on inbound</t>
  </si>
  <si>
    <t xml:space="preserve">F-G07</t>
  </si>
  <si>
    <t xml:space="preserve">Stock history report &amp; reconciliation, shrinkage</t>
  </si>
  <si>
    <t xml:space="preserve">F-G08</t>
  </si>
  <si>
    <t xml:space="preserve">Reseller / sourcing workflow (mobile scan, FNSKU labels)</t>
  </si>
  <si>
    <t xml:space="preserve">F-H01</t>
  </si>
  <si>
    <t xml:space="preserve">H</t>
  </si>
  <si>
    <t xml:space="preserve">Lost &amp; damaged reimbursement candidates (estimate, report)</t>
  </si>
  <si>
    <t xml:space="preserve">CALC-044</t>
  </si>
  <si>
    <t xml:space="preserve">F-H02</t>
  </si>
  <si>
    <t xml:space="preserve">Returns not received / refund-without-return candidates</t>
  </si>
  <si>
    <t xml:space="preserve">F-H03</t>
  </si>
  <si>
    <t xml:space="preserve">FBA fee-change (weight/dimension) candidates</t>
  </si>
  <si>
    <t xml:space="preserve">F-H04</t>
  </si>
  <si>
    <t xml:space="preserve">Claim tracker: eligibility, deadlines, policy version, evidence, appeals, realized credits</t>
  </si>
  <si>
    <t xml:space="preserve">F-H05</t>
  </si>
  <si>
    <t xml:space="preserve">Review request campaigns: eligibility, targeting, schedules, dedup, per-order status</t>
  </si>
  <si>
    <t xml:space="preserve">CALC-042</t>
  </si>
  <si>
    <t xml:space="preserve">CON-24</t>
  </si>
  <si>
    <t xml:space="preserve">F-H06</t>
  </si>
  <si>
    <t xml:space="preserve">Alerts: listing/Buy Box/seller count/fee/feedback/stock/ad-spend missing or spike/inbound; priorities; routing; resolution (no PPC recommendation alerts)</t>
  </si>
  <si>
    <t xml:space="preserve">F-H07</t>
  </si>
  <si>
    <t xml:space="preserve">Alert notification channels (in-app, e-mail, per-recipient) &amp; escalation</t>
  </si>
  <si>
    <t xml:space="preserve">F-H08</t>
  </si>
  <si>
    <t xml:space="preserve">Custom buyer follow-up e-mails via Buyer-Seller Messaging</t>
  </si>
  <si>
    <t xml:space="preserve">F-H09</t>
  </si>
  <si>
    <t xml:space="preserve">Alert notification channel in Seller Central</t>
  </si>
  <si>
    <t xml:space="preserve">F-I01</t>
  </si>
  <si>
    <t xml:space="preserve">I</t>
  </si>
  <si>
    <t xml:space="preserve">Repricer strategy profiles (max profit/sales/liquidation), min/max by ROI/margin/COGS+%, floor, overrides</t>
  </si>
  <si>
    <t xml:space="preserve">CON-25</t>
  </si>
  <si>
    <t xml:space="preserve">F-I02</t>
  </si>
  <si>
    <t xml:space="preserve">Guardrails: marketplace bounds, ±% caps, stale-data stop, kill switch, simulation, approval</t>
  </si>
  <si>
    <t xml:space="preserve">CALC-041,CALC-075</t>
  </si>
  <si>
    <t xml:space="preserve">F-I03</t>
  </si>
  <si>
    <t xml:space="preserve">Price history, Buy Box observations, change log, provider-result audit</t>
  </si>
  <si>
    <t xml:space="preserve">F-J01</t>
  </si>
  <si>
    <t xml:space="preserve">J</t>
  </si>
  <si>
    <t xml:space="preserve">Walmart / WFS / Connect / SEM views, Walmart-only summary</t>
  </si>
  <si>
    <t xml:space="preserve">CON-16</t>
  </si>
  <si>
    <t xml:space="preserve">F-J02</t>
  </si>
  <si>
    <t xml:space="preserve">eBay dashboard, LTV, products, orders, expenses; order-level COGS import</t>
  </si>
  <si>
    <t xml:space="preserve">CON-17</t>
  </si>
  <si>
    <t xml:space="preserve">F-J03</t>
  </si>
  <si>
    <t xml:space="preserve">TikTok Shop (commerce) distinct from TikTok Ads</t>
  </si>
  <si>
    <t xml:space="preserve">CON-18</t>
  </si>
  <si>
    <t xml:space="preserve">F-J04</t>
  </si>
  <si>
    <t xml:space="preserve">Multichannel fulfillment order filtering &amp; economic dedup (MCF/WFS)</t>
  </si>
  <si>
    <t xml:space="preserve">CALC-047</t>
  </si>
  <si>
    <t xml:space="preserve">F-J05</t>
  </si>
  <si>
    <t xml:space="preserve">Amazon→Shopify listing / MCF connector (historical claim)</t>
  </si>
  <si>
    <t xml:space="preserve">F-B12</t>
  </si>
  <si>
    <t xml:space="preserve">Unified dashboard: Amazon + Shopify + B2B in one tiles/chart/P&amp;L/trends view with channel, account and entity filters</t>
  </si>
  <si>
    <t xml:space="preserve">CALC-101,CALC-050,CALC-051</t>
  </si>
  <si>
    <t xml:space="preserve">CON-01,CON-05</t>
  </si>
  <si>
    <t xml:space="preserve">F-B13</t>
  </si>
  <si>
    <t xml:space="preserve">Sellerboard-compatible P&amp;L mode (same line names, order and definitions) with contribution-margin toggle</t>
  </si>
  <si>
    <t xml:space="preserve">CALC-050,CALC-051,CALC-052</t>
  </si>
  <si>
    <t xml:space="preserve">F-B14</t>
  </si>
  <si>
    <t xml:space="preserve">Calculation lineage drawer and data freshness/completeness indicators</t>
  </si>
  <si>
    <t xml:space="preserve">F-B15</t>
  </si>
  <si>
    <t xml:space="preserve">Targets and budget vs actual by channel/entity</t>
  </si>
  <si>
    <t xml:space="preserve">F-B16</t>
  </si>
  <si>
    <t xml:space="preserve">Parallel-run reconciliation against Sellerboard exports during migration</t>
  </si>
  <si>
    <t xml:space="preserve">CALC-051</t>
  </si>
  <si>
    <t xml:space="preserve">F-B17</t>
  </si>
  <si>
    <t xml:space="preserve">SnS penetration and BSR snapshot</t>
  </si>
  <si>
    <t xml:space="preserve">CALC-072,CALC-085</t>
  </si>
  <si>
    <t xml:space="preserve">F-C10</t>
  </si>
  <si>
    <t xml:space="preserve">COGS variants: tiered quantity cost, % of list/selling price, shared COGS master across channels</t>
  </si>
  <si>
    <t xml:space="preserve">CALC-078,CALC-087</t>
  </si>
  <si>
    <t xml:space="preserve">F-C11</t>
  </si>
  <si>
    <t xml:space="preserve">Closing a purchase order creates a cost batch with freight allocation</t>
  </si>
  <si>
    <t xml:space="preserve">CALC-086</t>
  </si>
  <si>
    <t xml:space="preserve">F-C12</t>
  </si>
  <si>
    <t xml:space="preserve">Grade &amp; Resell COGS double-count guard</t>
  </si>
  <si>
    <t xml:space="preserve">CALC-080</t>
  </si>
  <si>
    <t xml:space="preserve">F-D12</t>
  </si>
  <si>
    <t xml:space="preserve">Shopify revenue composition: gross sales, discounts, shipping charged, refunds, tips, chargebacks, gift cards</t>
  </si>
  <si>
    <t xml:space="preserve">CALC-076,CALC-052</t>
  </si>
  <si>
    <t xml:space="preserve">F-D13</t>
  </si>
  <si>
    <t xml:space="preserve">Payment fees per gateway (platform fee + gateway % + fixed; Auto actual)</t>
  </si>
  <si>
    <t xml:space="preserve">CON-05,CON-06</t>
  </si>
  <si>
    <t xml:space="preserve">F-D14</t>
  </si>
  <si>
    <t xml:space="preserve">Return shipping, return processing and country surcharge</t>
  </si>
  <si>
    <t xml:space="preserve">CALC-077</t>
  </si>
  <si>
    <t xml:space="preserve">F-D15</t>
  </si>
  <si>
    <t xml:space="preserve">Order inclusion rules (status/channel/tag) and COD/RTO cost handling</t>
  </si>
  <si>
    <t xml:space="preserve">CALC-090,CALC-104</t>
  </si>
  <si>
    <t xml:space="preserve">F-D16</t>
  </si>
  <si>
    <t xml:space="preserve">Actual courier/3PL fulfilment cost import replacing profile estimates</t>
  </si>
  <si>
    <t xml:space="preserve">CALC-105</t>
  </si>
  <si>
    <t xml:space="preserve">F-D17</t>
  </si>
  <si>
    <t xml:space="preserve">Advertising cost composition incl. flagged expenses and local GST on ads</t>
  </si>
  <si>
    <t xml:space="preserve">CALC-079</t>
  </si>
  <si>
    <t xml:space="preserve">F-D18</t>
  </si>
  <si>
    <t xml:space="preserve">Fee allocation: inbound by volume/weight; account-level fees by driver</t>
  </si>
  <si>
    <t xml:space="preserve">CALC-067</t>
  </si>
  <si>
    <t xml:space="preserve">F-E12</t>
  </si>
  <si>
    <t xml:space="preserve">Dual attribution: platform-reported vs first/last-visit attributed, customer journey</t>
  </si>
  <si>
    <t xml:space="preserve">CALC-061,CALC-056</t>
  </si>
  <si>
    <t xml:space="preserve">CON-05,CON-08,CON-09</t>
  </si>
  <si>
    <t xml:space="preserve">F-E13</t>
  </si>
  <si>
    <t xml:space="preserve">PPC profit, unit metrics and break-even bid</t>
  </si>
  <si>
    <t xml:space="preserve">CALC-055,CALC-056,CALC-057,CALC-049</t>
  </si>
  <si>
    <t xml:space="preserve">F-E14</t>
  </si>
  <si>
    <t xml:space="preserve">Day parting (heatmap read; bid writes conditional)</t>
  </si>
  <si>
    <t xml:space="preserve">CALC-058</t>
  </si>
  <si>
    <t xml:space="preserve">F-E15</t>
  </si>
  <si>
    <t xml:space="preserve">Blended ROAS, POAS, MER</t>
  </si>
  <si>
    <t xml:space="preserve">CALC-059</t>
  </si>
  <si>
    <t xml:space="preserve">F-E16</t>
  </si>
  <si>
    <t xml:space="preserve">Amazon Attribution campaign-level profit</t>
  </si>
  <si>
    <t xml:space="preserve">CALC-060</t>
  </si>
  <si>
    <t xml:space="preserve">F-F05</t>
  </si>
  <si>
    <t xml:space="preserve">Trailing-window LTV set (3/6/12/24 and 12–48 months) incl. profit per customer, repurchase rate, days between orders, CAC, ROAS, POAS</t>
  </si>
  <si>
    <t xml:space="preserve">CALC-084</t>
  </si>
  <si>
    <t xml:space="preserve">F-F06</t>
  </si>
  <si>
    <t xml:space="preserve">Replenishment cycle tracking for cartridges/candles with due list</t>
  </si>
  <si>
    <t xml:space="preserve">CALC-106</t>
  </si>
  <si>
    <t xml:space="preserve">F-G09</t>
  </si>
  <si>
    <t xml:space="preserve">Weighted velocity, seasonality, lead-time components, days until next order, stock value/potential, missed profit, profit forecast</t>
  </si>
  <si>
    <t xml:space="preserve">CALC-037,CALC-038,CALC-039,CALC-062,CALC-063,CALC-064,CALC-065,CALC-089</t>
  </si>
  <si>
    <t xml:space="preserve">F-G10</t>
  </si>
  <si>
    <t xml:space="preserve">Multi-location stock (3PL warehouses, factory, FBA) with shared stock pools</t>
  </si>
  <si>
    <t xml:space="preserve">CALC-092</t>
  </si>
  <si>
    <t xml:space="preserve">F-H10</t>
  </si>
  <si>
    <t xml:space="preserve">Reimbursement gap, fee-change overcharge, refund-without-return and lost/damaged estimates</t>
  </si>
  <si>
    <t xml:space="preserve">CALC-068,CALC-069,CALC-070,CALC-071</t>
  </si>
  <si>
    <t xml:space="preserve">F-H11</t>
  </si>
  <si>
    <t xml:space="preserve">Low-inventory-level fee risk alert (weekly, FNSKU)</t>
  </si>
  <si>
    <t xml:space="preserve">F-M01</t>
  </si>
  <si>
    <t xml:space="preserve">M</t>
  </si>
  <si>
    <t xml:space="preserve">B2B customer master: distributor/dealer/institution/intercompany, GSTIN, place of supply, terms &amp; limit, price list, salesperson/territory</t>
  </si>
  <si>
    <t xml:space="preserve">F-M02</t>
  </si>
  <si>
    <t xml:space="preserve">Manual B2B invoice entry with product master lines, HSN, auto GST split, freight, warehouse/batch; draft → approved → posted (maker-checker)</t>
  </si>
  <si>
    <t xml:space="preserve">CALC-093,CALC-094,CALC-095,CALC-096</t>
  </si>
  <si>
    <t xml:space="preserve">F-M03</t>
  </si>
  <si>
    <t xml:space="preserve">Credit notes, returns, schemes and rebates</t>
  </si>
  <si>
    <t xml:space="preserve">CALC-095,CALC-097</t>
  </si>
  <si>
    <t xml:space="preserve">F-M04</t>
  </si>
  <si>
    <t xml:space="preserve">B2B bulk import (CSV/XLSX) with validation and duplicate detection; accounting export</t>
  </si>
  <si>
    <t xml:space="preserve">CALC-100</t>
  </si>
  <si>
    <t xml:space="preserve">F-M05</t>
  </si>
  <si>
    <t xml:space="preserve">Receivables &amp; collections: receipts, TDS withheld, aging, MSME 45-day flag, DSO, overdue alerts</t>
  </si>
  <si>
    <t xml:space="preserve">CALC-098</t>
  </si>
  <si>
    <t xml:space="preserve">F-M06</t>
  </si>
  <si>
    <t xml:space="preserve">Export invoices (LUT, currency, shipping bill, realisation deadline)</t>
  </si>
  <si>
    <t xml:space="preserve">CALC-099,CALC-026</t>
  </si>
  <si>
    <t xml:space="preserve">F-M07</t>
  </si>
  <si>
    <t xml:space="preserve">B2B in unified dashboard by customer/territory/salesperson with contribution and intercompany elimination</t>
  </si>
  <si>
    <t xml:space="preserve">CALC-097,CALC-100,CALC-101,CALC-110</t>
  </si>
  <si>
    <t xml:space="preserve">F-M08</t>
  </si>
  <si>
    <t xml:space="preserve">Tax masters (HSN/GST rates, LUT, e-invoice/e-way bill settings) and read-only compliance flags</t>
  </si>
  <si>
    <t xml:space="preserve">CALC-102</t>
  </si>
  <si>
    <t xml:space="preserve">F-M09</t>
  </si>
  <si>
    <t xml:space="preserve">Stock deduction on B2B dispatch shared with Shopify/3PL/FBA pools without double count</t>
  </si>
  <si>
    <t xml:space="preserve">CALC-092,CALC-096</t>
  </si>
  <si>
    <t xml:space="preserve">F-M10</t>
  </si>
  <si>
    <t xml:space="preserve">Salesperson commission, price realisation, expected-credit-loss provision</t>
  </si>
  <si>
    <t xml:space="preserve">CALC-103</t>
  </si>
  <si>
    <t xml:space="preserve">F-M11</t>
  </si>
  <si>
    <t xml:space="preserve">Import won deals from the internal B2B lead pipeline as draft invoices (read-only link)</t>
  </si>
  <si>
    <t xml:space="preserve">F-D19</t>
  </si>
  <si>
    <t xml:space="preserve">Ad-spend in R1 profit: Amazon Ads, Google and Meta spend read for the compat Advertising line, blended ROAS/POAS and variable-expense bases</t>
  </si>
  <si>
    <t xml:space="preserve">CALC-079,CALC-059,CALC-091</t>
  </si>
  <si>
    <t xml:space="preserve">CON-02,CON-08,CON-09</t>
  </si>
  <si>
    <t xml:space="preserve">F-B18</t>
  </si>
  <si>
    <t xml:space="preserve">Period comparisons (Δ, Δ%, previous period, YoY) on tiles, P&amp;L and trends</t>
  </si>
  <si>
    <t xml:space="preserve">CALC-108</t>
  </si>
  <si>
    <t xml:space="preserve">F-K01</t>
  </si>
  <si>
    <t xml:space="preserve">K</t>
  </si>
  <si>
    <t xml:space="preserve">Connector: Amazon SP-API (Orders, Finances, Reports, FBA Inventory, Inbound, Sales, Listings read)</t>
  </si>
  <si>
    <t xml:space="preserve">F-K02</t>
  </si>
  <si>
    <t xml:space="preserve">Connector: Amazon Ads API — spend reporting only (SP/SB/SD v3: spend by campaign, advertised product, day)</t>
  </si>
  <si>
    <t xml:space="preserve">F-K03</t>
  </si>
  <si>
    <t xml:space="preserve">Connector: Amazon Brand Analytics / Search Terms (via Reports API)</t>
  </si>
  <si>
    <t xml:space="preserve">F-K04</t>
  </si>
  <si>
    <t xml:space="preserve">Connector: Amazon Attribution</t>
  </si>
  <si>
    <t xml:space="preserve">F-K05</t>
  </si>
  <si>
    <t xml:space="preserve">Connector: Shopify Admin GraphQL (orders, products, inventory, customers L1/L2, fulfillments)</t>
  </si>
  <si>
    <t xml:space="preserve">F-K06</t>
  </si>
  <si>
    <t xml:space="preserve">Connector: Shopify Payments payouts &amp; balance transactions</t>
  </si>
  <si>
    <t xml:space="preserve">F-K07</t>
  </si>
  <si>
    <t xml:space="preserve">Connector: Other payment gateways (Razorpay/PayPal/Stripe) — fee import</t>
  </si>
  <si>
    <t xml:space="preserve">CON-07</t>
  </si>
  <si>
    <t xml:space="preserve">F-K08</t>
  </si>
  <si>
    <t xml:space="preserve">Connector: Google Ads — spend only</t>
  </si>
  <si>
    <t xml:space="preserve">CON-08</t>
  </si>
  <si>
    <t xml:space="preserve">F-K09</t>
  </si>
  <si>
    <t xml:space="preserve">Connector: Meta (Facebook/Instagram) Ads — spend only</t>
  </si>
  <si>
    <t xml:space="preserve">CON-09</t>
  </si>
  <si>
    <t xml:space="preserve">F-K10</t>
  </si>
  <si>
    <t xml:space="preserve">Connector: Microsoft/Bing Ads</t>
  </si>
  <si>
    <t xml:space="preserve">CON-10</t>
  </si>
  <si>
    <t xml:space="preserve">F-K11</t>
  </si>
  <si>
    <t xml:space="preserve">Connector: TikTok Ads — spend only (for TikTok Shop and Shopify profit)</t>
  </si>
  <si>
    <t xml:space="preserve">CON-11</t>
  </si>
  <si>
    <t xml:space="preserve">F-K12</t>
  </si>
  <si>
    <t xml:space="preserve">Connector: Snapchat Ads</t>
  </si>
  <si>
    <t xml:space="preserve">CON-12</t>
  </si>
  <si>
    <t xml:space="preserve">F-K13</t>
  </si>
  <si>
    <t xml:space="preserve">Connector: Pinterest Ads</t>
  </si>
  <si>
    <t xml:space="preserve">CON-13</t>
  </si>
  <si>
    <t xml:space="preserve">F-K14</t>
  </si>
  <si>
    <t xml:space="preserve">Connector: Taboola</t>
  </si>
  <si>
    <t xml:space="preserve">CON-14</t>
  </si>
  <si>
    <t xml:space="preserve">F-K15</t>
  </si>
  <si>
    <t xml:space="preserve">Connector: Klaviyo</t>
  </si>
  <si>
    <t xml:space="preserve">CON-15</t>
  </si>
  <si>
    <t xml:space="preserve">F-K16</t>
  </si>
  <si>
    <t xml:space="preserve">Connector: Walmart Marketplace / WFS / Walmart Connect &amp; SEM spend (read)</t>
  </si>
  <si>
    <t xml:space="preserve">F-K17</t>
  </si>
  <si>
    <t xml:space="preserve">Connector: eBay</t>
  </si>
  <si>
    <t xml:space="preserve">F-K18</t>
  </si>
  <si>
    <t xml:space="preserve">Connector: TikTok Shop</t>
  </si>
  <si>
    <t xml:space="preserve">F-K19</t>
  </si>
  <si>
    <t xml:space="preserve">Connector: CJ Dropshipping</t>
  </si>
  <si>
    <t xml:space="preserve">CON-19</t>
  </si>
  <si>
    <t xml:space="preserve">F-K20</t>
  </si>
  <si>
    <t xml:space="preserve">Connector: ShipStation (actual shipping cost)</t>
  </si>
  <si>
    <t xml:space="preserve">CON-20</t>
  </si>
  <si>
    <t xml:space="preserve">F-K21</t>
  </si>
  <si>
    <t xml:space="preserve">Connector: Flexport / SFN</t>
  </si>
  <si>
    <t xml:space="preserve">CON-21</t>
  </si>
  <si>
    <t xml:space="preserve">F-K22</t>
  </si>
  <si>
    <t xml:space="preserve">Connector: Veeqo</t>
  </si>
  <si>
    <t xml:space="preserve">CON-22</t>
  </si>
  <si>
    <t xml:space="preserve">F-K23</t>
  </si>
  <si>
    <t xml:space="preserve">Connector: Private Google Sheets / CSV-XLSX URL feeds (COGS, landed cost, expenses)</t>
  </si>
  <si>
    <t xml:space="preserve">F-K24</t>
  </si>
  <si>
    <t xml:space="preserve">Connector: Amazon Solicitations API (review requests)</t>
  </si>
  <si>
    <t xml:space="preserve">F-K25</t>
  </si>
  <si>
    <t xml:space="preserve">Connector: Amazon Listings Items (price patch) — repricer writes</t>
  </si>
  <si>
    <t xml:space="preserve">F-K26</t>
  </si>
  <si>
    <t xml:space="preserve">Connector: Amazon Ads write (bids/budgets/negatives)</t>
  </si>
  <si>
    <t xml:space="preserve">F-K27</t>
  </si>
  <si>
    <t xml:space="preserve">Connector: QuickBooks / Tally export (accounting)</t>
  </si>
  <si>
    <t xml:space="preserve">CON-27</t>
  </si>
  <si>
    <t xml:space="preserve">F-K28</t>
  </si>
  <si>
    <t xml:space="preserve">Connector: Anthropic API (optional explain layer)</t>
  </si>
  <si>
    <t xml:space="preserve">F-K29</t>
  </si>
  <si>
    <t xml:space="preserve">Connector: Subscription provider (Shopify subscription app of record)</t>
  </si>
  <si>
    <t xml:space="preserve">F-K30</t>
  </si>
  <si>
    <t xml:space="preserve">Connector: Courier / 3PL fulfilment cost source (e.g., Eshopbox, courier invoices) — CSV/XLSX first, API discovery</t>
  </si>
  <si>
    <t xml:space="preserve">F-K31</t>
  </si>
  <si>
    <t xml:space="preserve">Connector: Internal B2B lead pipeline app (won deals → draft B2B invoices), read-only</t>
  </si>
  <si>
    <t xml:space="preserve">F-L01</t>
  </si>
  <si>
    <t xml:space="preserve">L</t>
  </si>
  <si>
    <t xml:space="preserve">Reports catalogue: dashboard by day/month/product, orders, sales by product/month, repeat, stock history, COGS, refunds (ads-performance report omitted v0.3)</t>
  </si>
  <si>
    <t xml:space="preserve">F-L02</t>
  </si>
  <si>
    <t xml:space="preserve">CSV/XLSX export, scheduled e-mail / private link destinations, permissions</t>
  </si>
  <si>
    <t xml:space="preserve">F-L03</t>
  </si>
  <si>
    <t xml:space="preserve">Claude-ready export bundles (schema + data dictionary)</t>
  </si>
  <si>
    <t xml:space="preserve">F-L04</t>
  </si>
  <si>
    <t xml:space="preserve">Cashflow (payout-based) &amp; settlement bridge</t>
  </si>
  <si>
    <t xml:space="preserve">CALC-027,CALC-073</t>
  </si>
  <si>
    <t xml:space="preserve">F-L05</t>
  </si>
  <si>
    <t xml:space="preserve">QuickBooks / accounting export</t>
  </si>
  <si>
    <t xml:space="preserve">F-L06</t>
  </si>
  <si>
    <t xml:space="preserve">Help, glossary, calculation tooltips &amp; lineage</t>
  </si>
  <si>
    <t xml:space="preserve">F-L07</t>
  </si>
  <si>
    <t xml:space="preserve">Diagnostics: sync status, freshness, errors, data lineage</t>
  </si>
  <si>
    <t xml:space="preserve">F-L08</t>
  </si>
  <si>
    <t xml:space="preserve">Responsive web + mobile PWA; push/offline where feasible</t>
  </si>
  <si>
    <t xml:space="preserve">F-L09</t>
  </si>
  <si>
    <t xml:space="preserve">Browser extension (product page profit calc)</t>
  </si>
  <si>
    <t xml:space="preserve">F-L10</t>
  </si>
  <si>
    <t xml:space="preserve">Dark/light mode, accessibility (WCAG 2.1 AA), localization (EN; INR/GBP/EUR/USD formats)</t>
  </si>
  <si>
    <t xml:space="preserve">F-L11</t>
  </si>
  <si>
    <t xml:space="preserve">Data export/delete (GDPR/DPDP), audit log</t>
  </si>
  <si>
    <t xml:space="preserve">F-L12</t>
  </si>
  <si>
    <t xml:space="preserve">Optional AI explain layer (aggregates only) / MCP-style read connector</t>
  </si>
  <si>
    <t xml:space="preserve">F-L13</t>
  </si>
  <si>
    <t xml:space="preserve">Vendor marketing, affiliate pages, branding</t>
  </si>
  <si>
    <t xml:space="preserve">F-A11</t>
  </si>
  <si>
    <t xml:space="preserve">All Amazon marketplaces (NA, EU, FE regions — e.g. US, CA, MX, BR, UK, IE, DE, FR, IT, ES, NL, BE, PL, SE, TR, AE, SA, EG, IN, JP, AU, SG, ZA): marketplace master with currency, timezone, tax regime and fee codes; 'All marketplaces' selector</t>
  </si>
  <si>
    <t xml:space="preserve">CALC-113,CALC-026</t>
  </si>
  <si>
    <t xml:space="preserve">F-J06</t>
  </si>
  <si>
    <t xml:space="preserve">Walmart / eBay / TikTok Shop fee, settlement and refund mapping into the Sellerboard-compatible P&amp;L lines (unknown fee types → Unclassified + alert)</t>
  </si>
  <si>
    <t xml:space="preserve">CALC-114,CALC-067</t>
  </si>
  <si>
    <t xml:space="preserve">CON-16,CON-17,CON-18</t>
  </si>
  <si>
    <t xml:space="preserve">F-J07</t>
  </si>
  <si>
    <t xml:space="preserve">Walmart Connect / SEM ad spend as the Walmart Advertising line (spend only)</t>
  </si>
  <si>
    <t xml:space="preserve">F-G11</t>
  </si>
  <si>
    <t xml:space="preserve">Walmart WFS inventory and inbound shipments in the inventory planner (Walmart Inventory Planner parity), alongside FBA</t>
  </si>
  <si>
    <t xml:space="preserve">CALC-037,CALC-038,CALC-039,CALC-040</t>
  </si>
  <si>
    <t xml:space="preserve">F-A12</t>
  </si>
  <si>
    <t xml:space="preserve">Amazon cross-border fulfilment: Pan-EU / EFN and Remote Fulfillment fee codes, pooled FBA stock across marketplaces, stock-transfer flags for VAT</t>
  </si>
  <si>
    <t xml:space="preserve">CALC-067,CALC-092,CALC-113</t>
  </si>
  <si>
    <t xml:space="preserve">F-J08</t>
  </si>
  <si>
    <t xml:space="preserve">Walmart and eBay report pages (orders, products, daily, monthly) in the reports catalogue</t>
  </si>
  <si>
    <t xml:space="preserve">CON-16,CON-17</t>
  </si>
  <si>
    <t xml:space="preserve">F-J09</t>
  </si>
  <si>
    <t xml:space="preserve">Single source for Walmart Connect / SEM spend per ad account (connector or settlement, never both)</t>
  </si>
  <si>
    <t xml:space="preserve">CALC-079,CALC-114</t>
  </si>
  <si>
    <t xml:space="preserve">Verification — key totals (live links) — v0.3, cutoff 2026-10-10</t>
  </si>
  <si>
    <t xml:space="preserve">All values are formulas linking to the model; LibreOffice recalc via the xlsx skill's recalc.py must report 0 formula errors.</t>
  </si>
  <si>
    <t xml:space="preserve">Key total</t>
  </si>
  <si>
    <t xml:space="preserve">Value (INR unless stated)</t>
  </si>
  <si>
    <t xml:space="preserve">Source cell</t>
  </si>
  <si>
    <t xml:space="preserve">Initial bounded release build incl. contingency</t>
  </si>
  <si>
    <t xml:space="preserve">Build_Summary!E19</t>
  </si>
  <si>
    <t xml:space="preserve">Initial bounded release hours (R0+R1+pro-rata ALL)</t>
  </si>
  <si>
    <t xml:space="preserve">Build_Summary!B19</t>
  </si>
  <si>
    <t xml:space="preserve">Full approved parity build incl. contingency</t>
  </si>
  <si>
    <t xml:space="preserve">Build_Summary!E12</t>
  </si>
  <si>
    <t xml:space="preserve">Monthly OpEx base — full parity</t>
  </si>
  <si>
    <t xml:space="preserve">OpEx_Monthly!C24</t>
  </si>
  <si>
    <t xml:space="preserve">Monthly OpEx base — initial release (lines ≤R1)</t>
  </si>
  <si>
    <t xml:space="preserve">OpEx_Monthly!C25</t>
  </si>
  <si>
    <t xml:space="preserve">36-month cash TCO — full parity, base</t>
  </si>
  <si>
    <t xml:space="preserve">TCO!C22</t>
  </si>
  <si>
    <t xml:space="preserve">36-month cash TCO — full parity, low</t>
  </si>
  <si>
    <t xml:space="preserve">TCO!B22</t>
  </si>
  <si>
    <t xml:space="preserve">36-month cash TCO — full parity, high</t>
  </si>
  <si>
    <t xml:space="preserve">TCO!D22</t>
  </si>
  <si>
    <t xml:space="preserve">36-month cash TCO — initial release, base</t>
  </si>
  <si>
    <t xml:space="preserve">TCO!C16</t>
  </si>
  <si>
    <t xml:space="preserve">Build cost incl. contingency — R0</t>
  </si>
  <si>
    <t xml:space="preserve">Build_Summary!E5</t>
  </si>
  <si>
    <t xml:space="preserve">Build cost incl. contingency — R1</t>
  </si>
  <si>
    <t xml:space="preserve">Build_Summary!E6</t>
  </si>
  <si>
    <t xml:space="preserve">Build cost incl. contingency — R2</t>
  </si>
  <si>
    <t xml:space="preserve">Build_Summary!E7</t>
  </si>
  <si>
    <t xml:space="preserve">Build cost incl. contingency — R3</t>
  </si>
  <si>
    <t xml:space="preserve">Build_Summary!E8</t>
  </si>
  <si>
    <t xml:space="preserve">Build cost incl. contingency — R4</t>
  </si>
  <si>
    <t xml:space="preserve">Build_Summary!E9</t>
  </si>
  <si>
    <t xml:space="preserve">Build cost incl. contingency — R5</t>
  </si>
  <si>
    <t xml:space="preserve">Build_Summary!E10</t>
  </si>
  <si>
    <t xml:space="preserve">Build cost incl. contingency — ALL</t>
  </si>
  <si>
    <t xml:space="preserve">Build_Summary!E11</t>
  </si>
  <si>
    <t xml:space="preserve">Total hours (all WPs)</t>
  </si>
  <si>
    <t xml:space="preserve">WorkPackages!E40</t>
  </si>
  <si>
    <t xml:space="preserve">Features in register</t>
  </si>
  <si>
    <t xml:space="preserve">Traceability!D41</t>
  </si>
  <si>
    <t xml:space="preserve">Feature→WP links counted</t>
  </si>
  <si>
    <t xml:space="preserve">Traceability!D40</t>
  </si>
  <si>
    <t xml:space="preserve">Sellerboard spend (sellerboard.com + .io), monthly</t>
  </si>
  <si>
    <t xml:space="preserve">Build_vs_Buy!B7</t>
  </si>
  <si>
    <t xml:space="preserve">Category total reconciles to full parity</t>
  </si>
  <si>
    <t xml:space="preserve">Build_Summary!F38</t>
  </si>
  <si>
    <t xml:space="preserve">Phased TCO build reconciles</t>
  </si>
  <si>
    <t xml:space="preserve">TCO!E29</t>
  </si>
  <si>
    <t xml:space="preserve">WorkPackages total vs register</t>
  </si>
  <si>
    <t xml:space="preserve">WorkPackages!I40</t>
  </si>
  <si>
    <t xml:space="preserve">Traceability feature check</t>
  </si>
  <si>
    <t xml:space="preserve">Traceability!D45</t>
  </si>
  <si>
    <t xml:space="preserve">Cash TCO includes the 20% contingency as committed budget; it is shown separately in Build_Summary. Regenerated by engineering/build_cost_model.py and verified by LibreOffice recalc (xlsx skill recalc.py) on 2026-10-10.</t>
  </si>
  <si>
    <t xml:space="preserve">Change bridge — v0.2 vs v0.3 (both cutoff 2026-10-10)</t>
  </si>
  <si>
    <t xml:space="preserve">v0.2 column = BLUE hardcoded values from the v0.2 workbook (Verification sheet, LibreOffice-recalculated 2026-10-10, incl. the security/landing-zone OpEx line). v0.3 column = live formulas into this model. Assumption values (rates, contingency, OpEx lines, multipliers) are unchanged — differences are scope-driven (marketing omitted; all marketplaces in R2).</t>
  </si>
  <si>
    <t xml:space="preserve">A. Key totals</t>
  </si>
  <si>
    <t xml:space="preserve">Metric</t>
  </si>
  <si>
    <t xml:space="preserve">v0.2</t>
  </si>
  <si>
    <t xml:space="preserve">v0.3</t>
  </si>
  <si>
    <t xml:space="preserve">Δ (v0.3 − v0.2)</t>
  </si>
  <si>
    <t xml:space="preserve">−1,220 h marketing (WP-18/19/21 retired, WP-14 −120, WP-20 −80, WP-23 −120) + 400 h new (WP-38, WP-39)</t>
  </si>
  <si>
    <t xml:space="preserve">Work packages (count)</t>
  </si>
  <si>
    <t xml:space="preserve">3 retired, 2 added</t>
  </si>
  <si>
    <t xml:space="preserve">Programme calendar (weeks, R0–R5)</t>
  </si>
  <si>
    <t xml:space="preserve">R2 10→14, R4 10→6, R5 12→10</t>
  </si>
  <si>
    <t xml:space="preserve">Initial bounded release — hours</t>
  </si>
  <si>
    <t xml:space="preserve">R0+R1+pro-rata ALL (pro-rata share changes because R2–R5 hours changed)</t>
  </si>
  <si>
    <t xml:space="preserve">Initial bounded release — INR incl. contingency</t>
  </si>
  <si>
    <t xml:space="preserve">R0/R1 scope unchanged</t>
  </si>
  <si>
    <t xml:space="preserve">Full approved parity — INR incl. contingency</t>
  </si>
  <si>
    <t xml:space="preserve">New ChatGPT/Codex seats line (12 × $25); Ads API line ₹0 (spend read)</t>
  </si>
  <si>
    <t xml:space="preserve">Monthly OpEx base — initial release (≤R1)</t>
  </si>
  <si>
    <t xml:space="preserve">Includes ChatGPT/Codex seats from R0</t>
  </si>
  <si>
    <t xml:space="preserve">Build incl. contingency — R0</t>
  </si>
  <si>
    <t xml:space="preserve">Build incl. contingency — R1</t>
  </si>
  <si>
    <t xml:space="preserve">Build incl. contingency — R2</t>
  </si>
  <si>
    <t xml:space="preserve">Build incl. contingency — R3</t>
  </si>
  <si>
    <t xml:space="preserve">Build incl. contingency — R4</t>
  </si>
  <si>
    <t xml:space="preserve">Build incl. contingency — R5</t>
  </si>
  <si>
    <t xml:space="preserve">Build incl. contingency — ALL</t>
  </si>
  <si>
    <t xml:space="preserve">7 added (F-A11, F-A12, F-G11, F-J06…F-J09); 23 now OMITTED (kept for traceability, not built)</t>
  </si>
  <si>
    <t xml:space="preserve">B. Work packages that drove the change</t>
  </si>
  <si>
    <t xml:space="preserve">WP — name (v0.3, or v0.2 for retired)</t>
  </si>
  <si>
    <t xml:space="preserve">v0.2 hours</t>
  </si>
  <si>
    <t xml:space="preserve">v0.3 hours</t>
  </si>
  <si>
    <t xml:space="preserve">Δ hours</t>
  </si>
  <si>
    <t xml:space="preserve">Δ INR incl. cont.</t>
  </si>
  <si>
    <t xml:space="preserve">Driver</t>
  </si>
  <si>
    <t xml:space="preserve">(Retired WPs have 0 h in v0.3; their Δ INR uses the v0.2 owner-role rate from Assumptions.)</t>
  </si>
  <si>
    <t xml:space="preserve">WP-14 — LTV, repeat customers, cohorts &amp; replenishment cycles (no ad attribution, no campaign analytics)</t>
  </si>
  <si>
    <t xml:space="preserve">[R2→R2] Reduced 340→220 h: LTV, repeat customers, cohorts &amp; replenishment kept; ad attribution, CAC payback by campaign and Amazon Attribution removed (marketing omitted)</t>
  </si>
  <si>
    <t xml:space="preserve">WP-18 — Review requests (Solicitations) — marketing, omitted v0.3</t>
  </si>
  <si>
    <t xml:space="preserve">[R3→retired] RETIRED — review-request e-mails (Solicitations) are marketing; omitted by Owner 2026-10-10</t>
  </si>
  <si>
    <t xml:space="preserve">WP-19 — Amazon Ads campaign/PPC analytics — marketing, omitted v0.3 (ad spend read stays in WP-37)</t>
  </si>
  <si>
    <t xml:space="preserve">[R4→retired] RETIRED — Amazon Ads campaign/PPC analytics omitted; ad SPEND read stays in WP-37 (R1)</t>
  </si>
  <si>
    <t xml:space="preserve">WP-20 — Automation safety framework for repricer writes: simulation, maker-checker, canary, kill switch, audit, replay</t>
  </si>
  <si>
    <t xml:space="preserve">[R3→R3] Reduced 360→280 h: safety framework now serves repricer writes only (no PPC writes)</t>
  </si>
  <si>
    <t xml:space="preserve">WP-21 — PPC recommendations &amp; bid/negative automation — marketing, omitted v0.3</t>
  </si>
  <si>
    <t xml:space="preserve">[R4→retired] RETIRED — PPC recommendations, bid/budget/negative automation, day parting omitted</t>
  </si>
  <si>
    <t xml:space="preserve">WP-23 — Marketplace connectors: Walmart (Marketplace, WFS, Walmart Connect/SEM spend read), eBay, TikTok Shop — orders, fees, settlements, returns, inventory; compat P&amp;L mapping</t>
  </si>
  <si>
    <t xml:space="preserve">[R5→R2] Moved R5→R2 and re-scoped 720→600 h: Walmart (incl. WFS, Walmart Connect/SEM spend), eBay, TikTok Shop marketplaces only; external-ads &amp; Klaviyo connectors removed; ops connectors split to WP-39</t>
  </si>
  <si>
    <t xml:space="preserve">WP-38 — All Amazon marketplaces: NA/EU/FE regions, marketplace master (currency, timezone, tax regime, fee codes), multi-region auth &amp; rate limits, per-marketplace fixtures</t>
  </si>
  <si>
    <t xml:space="preserve">[new→R2] NEW — all Amazon marketplaces (NA/EU/FE): marketplace master, tax regimes, multi-region auth (R2)</t>
  </si>
  <si>
    <t xml:space="preserve">WP-39 — Operations connectors: ShipStation, Flexport/SFN, Veeqo, CJ Dropshipping (read-only)</t>
  </si>
  <si>
    <t xml:space="preserve">[new→R5] NEW — ShipStation, Flexport/SFN, Veeqo, CJ Dropshipping read connectors split out of WP-23 (R5)</t>
  </si>
  <si>
    <t xml:space="preserve">Sum of driver WPs</t>
  </si>
  <si>
    <t xml:space="preserve">Check: Δ hours of drivers = Δ total hours (all other WPs unchanged)</t>
  </si>
  <si>
    <t xml:space="preserve">Check: Δ INR of drivers = Δ full parity INR</t>
  </si>
  <si>
    <t xml:space="preserve">C. Release calendar &amp; hours by release</t>
  </si>
  <si>
    <t xml:space="preserve">Release (v0.3 name)</t>
  </si>
  <si>
    <t xml:space="preserve">v0.2 weeks</t>
  </si>
  <si>
    <t xml:space="preserve">v0.3 weeks</t>
  </si>
  <si>
    <t xml:space="preserve">Comment</t>
  </si>
  <si>
    <t xml:space="preserve">Gained WP-23 (Walmart/eBay/TikTok Shop) and WP-38 (all Amazon marketplaces); WP-14 reduced; +4 weeks</t>
  </si>
  <si>
    <t xml:space="preserve">Lost WP-18 (review requests); WP-20 reduced</t>
  </si>
  <si>
    <t xml:space="preserve">Lost WP-19 and WP-21 (PPC); repricer only; −4 weeks</t>
  </si>
  <si>
    <t xml:space="preserve">Lost WP-23 to R2; gained WP-39 (ops connectors); −2 weeks</t>
  </si>
  <si>
    <t xml:space="preserve">ALL — cross-cutting</t>
  </si>
  <si>
    <t xml:space="preserve">Scope kept on purpose: ad SPEND is still read (WP-37, R1) as the Advertising cost line so net profit matches Sellerboard; LTV and repeat-customer reports stay (WP-14). History: v0.1 (2026-09-10) 10,280 h / ₹3,03,45,600 full parity → v0.2 12,000 h / ₹3,55,58,400 → v0.3 (this model).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</si>
</sst>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;&quot;(₹&quot;#,##0\);\-"/>
    <numFmt numFmtId="166" formatCode="0.0%;\(0.0%\);\-"/>
    <numFmt numFmtId="167" formatCode="#,##0.##;\(#,##0.##\);\-"/>
    <numFmt numFmtId="168" formatCode="0.00"/>
    <numFmt numFmtId="169" formatCode="#,##0;\(#,##0\);\-"/>
    <numFmt numFmtId="170" formatCode="\$#,##0.00;&quot;($&quot;#,##0.00\);\-"/>
    <numFmt numFmtId="171" formatCode="0.00\×"/>
    <numFmt numFmtId="172" formatCode="#,##0.0;\(#,##0.0\);\-"/>
    <numFmt numFmtId="173" formatCode="0.00;\(0.00\);\-"/>
    <numFmt numFmtId="174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</row>
    <row r="5" customFormat="false" ht="39.55" hidden="false" customHeight="false" outlineLevel="0" collapsed="false">
      <c r="A5" s="2" t="s">
        <v>2</v>
      </c>
    </row>
    <row r="7" customFormat="false" ht="39.55" hidden="false" customHeight="false" outlineLevel="0" collapsed="false">
      <c r="A7" s="3" t="s">
        <v>3</v>
      </c>
    </row>
    <row r="9" customFormat="false" ht="26.85" hidden="false" customHeight="false" outlineLevel="0" collapsed="false">
      <c r="A9" s="2" t="s">
        <v>4</v>
      </c>
    </row>
    <row r="11" customFormat="false" ht="52.2" hidden="false" customHeight="false" outlineLevel="0" collapsed="false">
      <c r="A11" s="2" t="s">
        <v>5</v>
      </c>
    </row>
    <row r="13" customFormat="false" ht="39.55" hidden="false" customHeight="false" outlineLevel="0" collapsed="false">
      <c r="A13" s="2" t="s">
        <v>6</v>
      </c>
    </row>
    <row r="15" customFormat="false" ht="52.2" hidden="false" customHeight="false" outlineLevel="0" collapsed="false">
      <c r="A15" s="2" t="s">
        <v>7</v>
      </c>
    </row>
    <row r="17" customFormat="false" ht="90.25" hidden="false" customHeight="false" outlineLevel="0" collapsed="false">
      <c r="A17" s="4" t="s">
        <v>8</v>
      </c>
    </row>
    <row r="18" customFormat="false" ht="64.9" hidden="false" customHeight="false" outlineLevel="0" collapsed="false">
      <c r="A18" s="2" t="s">
        <v>9</v>
      </c>
    </row>
    <row r="19" customFormat="false" ht="26.85" hidden="false" customHeight="false" outlineLevel="0" collapsed="false">
      <c r="A19" s="2" t="s">
        <v>10</v>
      </c>
    </row>
    <row r="20" customFormat="false" ht="26.85" hidden="false" customHeight="false" outlineLevel="0" collapsed="false">
      <c r="A20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5" t="s">
        <v>13</v>
      </c>
    </row>
    <row r="4" customFormat="false" ht="15" hidden="false" customHeight="false" outlineLevel="0" collapsed="false">
      <c r="A4" s="6" t="s">
        <v>14</v>
      </c>
      <c r="B4" s="6" t="s">
        <v>15</v>
      </c>
      <c r="C4" s="6" t="s">
        <v>16</v>
      </c>
      <c r="D4" s="6" t="s">
        <v>17</v>
      </c>
    </row>
    <row r="5" customFormat="false" ht="15" hidden="false" customHeight="false" outlineLevel="0" collapsed="false">
      <c r="A5" s="7" t="s">
        <v>18</v>
      </c>
      <c r="B5" s="8" t="n">
        <v>3500</v>
      </c>
      <c r="C5" s="7" t="s">
        <v>19</v>
      </c>
      <c r="D5" s="7" t="s">
        <v>20</v>
      </c>
    </row>
    <row r="6" customFormat="false" ht="15" hidden="false" customHeight="false" outlineLevel="0" collapsed="false">
      <c r="A6" s="7" t="s">
        <v>21</v>
      </c>
      <c r="B6" s="8" t="n">
        <v>3000</v>
      </c>
      <c r="C6" s="7" t="s">
        <v>19</v>
      </c>
      <c r="D6" s="7" t="s">
        <v>20</v>
      </c>
    </row>
    <row r="7" customFormat="false" ht="15" hidden="false" customHeight="false" outlineLevel="0" collapsed="false">
      <c r="A7" s="7" t="s">
        <v>22</v>
      </c>
      <c r="B7" s="8" t="n">
        <v>2400</v>
      </c>
      <c r="C7" s="7" t="s">
        <v>19</v>
      </c>
      <c r="D7" s="7" t="s">
        <v>20</v>
      </c>
    </row>
    <row r="8" customFormat="false" ht="15" hidden="false" customHeight="false" outlineLevel="0" collapsed="false">
      <c r="A8" s="7" t="s">
        <v>23</v>
      </c>
      <c r="B8" s="8" t="n">
        <v>2200</v>
      </c>
      <c r="C8" s="7" t="s">
        <v>19</v>
      </c>
      <c r="D8" s="7" t="s">
        <v>20</v>
      </c>
    </row>
    <row r="9" customFormat="false" ht="15" hidden="false" customHeight="false" outlineLevel="0" collapsed="false">
      <c r="A9" s="7" t="s">
        <v>24</v>
      </c>
      <c r="B9" s="8" t="n">
        <v>2400</v>
      </c>
      <c r="C9" s="7" t="s">
        <v>19</v>
      </c>
      <c r="D9" s="7" t="s">
        <v>20</v>
      </c>
    </row>
    <row r="10" customFormat="false" ht="15" hidden="false" customHeight="false" outlineLevel="0" collapsed="false">
      <c r="A10" s="7" t="s">
        <v>25</v>
      </c>
      <c r="B10" s="8" t="n">
        <v>2600</v>
      </c>
      <c r="C10" s="7" t="s">
        <v>19</v>
      </c>
      <c r="D10" s="7" t="s">
        <v>20</v>
      </c>
    </row>
    <row r="11" customFormat="false" ht="15" hidden="false" customHeight="false" outlineLevel="0" collapsed="false">
      <c r="A11" s="7" t="s">
        <v>26</v>
      </c>
      <c r="B11" s="8" t="n">
        <v>2600</v>
      </c>
      <c r="C11" s="7" t="s">
        <v>19</v>
      </c>
      <c r="D11" s="7" t="s">
        <v>20</v>
      </c>
    </row>
    <row r="12" customFormat="false" ht="15" hidden="false" customHeight="false" outlineLevel="0" collapsed="false">
      <c r="A12" s="7" t="s">
        <v>27</v>
      </c>
      <c r="B12" s="8" t="n">
        <v>2400</v>
      </c>
      <c r="C12" s="7" t="s">
        <v>19</v>
      </c>
      <c r="D12" s="7" t="s">
        <v>20</v>
      </c>
    </row>
    <row r="13" customFormat="false" ht="15" hidden="false" customHeight="false" outlineLevel="0" collapsed="false">
      <c r="A13" s="7" t="s">
        <v>28</v>
      </c>
      <c r="B13" s="8" t="n">
        <v>2000</v>
      </c>
      <c r="C13" s="7" t="s">
        <v>19</v>
      </c>
      <c r="D13" s="7" t="s">
        <v>20</v>
      </c>
    </row>
    <row r="14" customFormat="false" ht="15" hidden="false" customHeight="false" outlineLevel="0" collapsed="false">
      <c r="A14" s="7" t="s">
        <v>29</v>
      </c>
      <c r="B14" s="8" t="n">
        <v>1800</v>
      </c>
      <c r="C14" s="7" t="s">
        <v>19</v>
      </c>
      <c r="D14" s="7" t="s">
        <v>20</v>
      </c>
    </row>
    <row r="15" customFormat="false" ht="15" hidden="false" customHeight="false" outlineLevel="0" collapsed="false">
      <c r="A15" s="7" t="s">
        <v>30</v>
      </c>
      <c r="B15" s="8" t="n">
        <v>2400</v>
      </c>
      <c r="C15" s="7" t="s">
        <v>19</v>
      </c>
      <c r="D15" s="7" t="s">
        <v>20</v>
      </c>
    </row>
    <row r="16" customFormat="false" ht="15" hidden="false" customHeight="false" outlineLevel="0" collapsed="false">
      <c r="A16" s="7" t="s">
        <v>31</v>
      </c>
      <c r="B16" s="8" t="n">
        <v>3000</v>
      </c>
      <c r="C16" s="7" t="s">
        <v>19</v>
      </c>
      <c r="D16" s="7" t="s">
        <v>20</v>
      </c>
    </row>
    <row r="18" customFormat="false" ht="15" hidden="false" customHeight="false" outlineLevel="0" collapsed="false">
      <c r="A18" s="6" t="s">
        <v>32</v>
      </c>
      <c r="B18" s="6" t="s">
        <v>15</v>
      </c>
      <c r="C18" s="6" t="s">
        <v>16</v>
      </c>
      <c r="D18" s="6" t="s">
        <v>17</v>
      </c>
    </row>
    <row r="19" customFormat="false" ht="15" hidden="false" customHeight="false" outlineLevel="0" collapsed="false">
      <c r="A19" s="7" t="s">
        <v>33</v>
      </c>
      <c r="B19" s="9" t="n">
        <v>0.2</v>
      </c>
      <c r="C19" s="7" t="s">
        <v>34</v>
      </c>
      <c r="D19" s="7" t="s">
        <v>35</v>
      </c>
    </row>
    <row r="20" customFormat="false" ht="15" hidden="false" customHeight="false" outlineLevel="0" collapsed="false">
      <c r="A20" s="7" t="s">
        <v>36</v>
      </c>
      <c r="B20" s="10" t="n">
        <v>160</v>
      </c>
      <c r="C20" s="7" t="s">
        <v>37</v>
      </c>
      <c r="D20" s="7" t="s">
        <v>38</v>
      </c>
    </row>
    <row r="21" customFormat="false" ht="15" hidden="false" customHeight="false" outlineLevel="0" collapsed="false">
      <c r="A21" s="7" t="s">
        <v>39</v>
      </c>
      <c r="B21" s="11" t="n">
        <v>0.75</v>
      </c>
      <c r="C21" s="7" t="s">
        <v>40</v>
      </c>
      <c r="D21" s="7" t="s">
        <v>41</v>
      </c>
    </row>
    <row r="22" customFormat="false" ht="15" hidden="false" customHeight="false" outlineLevel="0" collapsed="false">
      <c r="A22" s="7" t="s">
        <v>42</v>
      </c>
      <c r="B22" s="10" t="n">
        <v>84</v>
      </c>
      <c r="C22" s="7" t="s">
        <v>43</v>
      </c>
      <c r="D22" s="7" t="s">
        <v>44</v>
      </c>
    </row>
    <row r="23" customFormat="false" ht="15" hidden="false" customHeight="false" outlineLevel="0" collapsed="false">
      <c r="A23" s="7" t="s">
        <v>45</v>
      </c>
      <c r="B23" s="10" t="n">
        <v>3</v>
      </c>
      <c r="C23" s="7" t="s">
        <v>46</v>
      </c>
      <c r="D23" s="7" t="s">
        <v>47</v>
      </c>
    </row>
    <row r="25" customFormat="false" ht="26.85" hidden="false" customHeight="false" outlineLevel="0" collapsed="false">
      <c r="A25" s="6" t="s">
        <v>48</v>
      </c>
      <c r="B25" s="6" t="s">
        <v>15</v>
      </c>
      <c r="C25" s="6" t="s">
        <v>16</v>
      </c>
      <c r="D25" s="6" t="s">
        <v>17</v>
      </c>
    </row>
    <row r="26" customFormat="false" ht="15" hidden="false" customHeight="false" outlineLevel="0" collapsed="false">
      <c r="A26" s="7" t="s">
        <v>49</v>
      </c>
      <c r="B26" s="12" t="n">
        <v>8</v>
      </c>
      <c r="C26" s="7" t="s">
        <v>50</v>
      </c>
      <c r="D26" s="7" t="s">
        <v>51</v>
      </c>
    </row>
    <row r="27" customFormat="false" ht="15" hidden="false" customHeight="false" outlineLevel="0" collapsed="false">
      <c r="A27" s="7" t="s">
        <v>52</v>
      </c>
      <c r="B27" s="12" t="n">
        <v>14</v>
      </c>
      <c r="C27" s="7" t="s">
        <v>50</v>
      </c>
      <c r="D27" s="7" t="s">
        <v>53</v>
      </c>
    </row>
    <row r="28" customFormat="false" ht="15" hidden="false" customHeight="false" outlineLevel="0" collapsed="false">
      <c r="A28" s="7" t="s">
        <v>54</v>
      </c>
      <c r="B28" s="12" t="n">
        <v>14</v>
      </c>
      <c r="C28" s="7" t="s">
        <v>50</v>
      </c>
      <c r="D28" s="7" t="s">
        <v>55</v>
      </c>
    </row>
    <row r="29" customFormat="false" ht="15" hidden="false" customHeight="false" outlineLevel="0" collapsed="false">
      <c r="A29" s="7" t="s">
        <v>56</v>
      </c>
      <c r="B29" s="12" t="n">
        <v>10</v>
      </c>
      <c r="C29" s="7" t="s">
        <v>50</v>
      </c>
      <c r="D29" s="7" t="s">
        <v>57</v>
      </c>
    </row>
    <row r="30" customFormat="false" ht="15" hidden="false" customHeight="false" outlineLevel="0" collapsed="false">
      <c r="A30" s="7" t="s">
        <v>58</v>
      </c>
      <c r="B30" s="12" t="n">
        <v>6</v>
      </c>
      <c r="C30" s="7" t="s">
        <v>50</v>
      </c>
      <c r="D30" s="7" t="s">
        <v>59</v>
      </c>
    </row>
    <row r="31" customFormat="false" ht="15" hidden="false" customHeight="false" outlineLevel="0" collapsed="false">
      <c r="A31" s="7" t="s">
        <v>60</v>
      </c>
      <c r="B31" s="12" t="n">
        <v>10</v>
      </c>
      <c r="C31" s="7" t="s">
        <v>50</v>
      </c>
      <c r="D31" s="7" t="s">
        <v>61</v>
      </c>
    </row>
    <row r="32" customFormat="false" ht="15" hidden="false" customHeight="false" outlineLevel="0" collapsed="false">
      <c r="A32" s="7" t="s">
        <v>62</v>
      </c>
      <c r="B32" s="13" t="n">
        <f aca="false">SUM(B26:B31)</f>
        <v>62</v>
      </c>
      <c r="C32" s="7" t="s">
        <v>50</v>
      </c>
      <c r="D32" s="7" t="s">
        <v>63</v>
      </c>
    </row>
    <row r="34" customFormat="false" ht="15" hidden="false" customHeight="false" outlineLevel="0" collapsed="false">
      <c r="A34" s="6" t="s">
        <v>64</v>
      </c>
      <c r="B34" s="6" t="s">
        <v>15</v>
      </c>
      <c r="C34" s="6" t="s">
        <v>16</v>
      </c>
      <c r="D34" s="6" t="s">
        <v>17</v>
      </c>
    </row>
    <row r="35" customFormat="false" ht="15" hidden="false" customHeight="false" outlineLevel="0" collapsed="false">
      <c r="A35" s="7" t="s">
        <v>65</v>
      </c>
      <c r="B35" s="8" t="n">
        <v>45000</v>
      </c>
      <c r="C35" s="7" t="s">
        <v>66</v>
      </c>
      <c r="D35" s="7" t="s">
        <v>38</v>
      </c>
    </row>
    <row r="36" customFormat="false" ht="15" hidden="false" customHeight="false" outlineLevel="0" collapsed="false">
      <c r="A36" s="7" t="s">
        <v>67</v>
      </c>
      <c r="B36" s="8" t="n">
        <v>25000</v>
      </c>
      <c r="C36" s="7" t="s">
        <v>66</v>
      </c>
      <c r="D36" s="7" t="s">
        <v>38</v>
      </c>
    </row>
    <row r="37" customFormat="false" ht="15" hidden="false" customHeight="false" outlineLevel="0" collapsed="false">
      <c r="A37" s="7" t="s">
        <v>68</v>
      </c>
      <c r="B37" s="8" t="n">
        <v>8000</v>
      </c>
      <c r="C37" s="7" t="s">
        <v>66</v>
      </c>
      <c r="D37" s="7" t="s">
        <v>38</v>
      </c>
    </row>
    <row r="38" customFormat="false" ht="15" hidden="false" customHeight="false" outlineLevel="0" collapsed="false">
      <c r="A38" s="7" t="s">
        <v>69</v>
      </c>
      <c r="B38" s="8" t="n">
        <v>10000</v>
      </c>
      <c r="C38" s="7" t="s">
        <v>66</v>
      </c>
      <c r="D38" s="7" t="s">
        <v>38</v>
      </c>
    </row>
    <row r="39" customFormat="false" ht="15" hidden="false" customHeight="false" outlineLevel="0" collapsed="false">
      <c r="A39" s="7" t="s">
        <v>70</v>
      </c>
      <c r="B39" s="8" t="n">
        <v>5000</v>
      </c>
      <c r="C39" s="7" t="s">
        <v>66</v>
      </c>
      <c r="D39" s="7" t="s">
        <v>38</v>
      </c>
    </row>
    <row r="40" customFormat="false" ht="15" hidden="false" customHeight="false" outlineLevel="0" collapsed="false">
      <c r="A40" s="7" t="s">
        <v>71</v>
      </c>
      <c r="B40" s="8" t="n">
        <v>12000</v>
      </c>
      <c r="C40" s="7" t="s">
        <v>66</v>
      </c>
      <c r="D40" s="7" t="s">
        <v>38</v>
      </c>
    </row>
    <row r="41" customFormat="false" ht="15" hidden="false" customHeight="false" outlineLevel="0" collapsed="false">
      <c r="A41" s="7" t="s">
        <v>72</v>
      </c>
      <c r="B41" s="8" t="n">
        <v>6000</v>
      </c>
      <c r="C41" s="7" t="s">
        <v>66</v>
      </c>
      <c r="D41" s="7" t="s">
        <v>38</v>
      </c>
    </row>
    <row r="42" customFormat="false" ht="15" hidden="false" customHeight="false" outlineLevel="0" collapsed="false">
      <c r="A42" s="7" t="s">
        <v>73</v>
      </c>
      <c r="B42" s="8" t="n">
        <v>18000</v>
      </c>
      <c r="C42" s="7" t="s">
        <v>66</v>
      </c>
      <c r="D42" s="7" t="s">
        <v>38</v>
      </c>
    </row>
    <row r="44" customFormat="false" ht="15" hidden="false" customHeight="false" outlineLevel="0" collapsed="false">
      <c r="A44" s="6" t="s">
        <v>74</v>
      </c>
      <c r="B44" s="6" t="s">
        <v>15</v>
      </c>
      <c r="C44" s="6" t="s">
        <v>16</v>
      </c>
      <c r="D44" s="6" t="s">
        <v>17</v>
      </c>
    </row>
    <row r="45" customFormat="false" ht="15" hidden="false" customHeight="false" outlineLevel="0" collapsed="false">
      <c r="A45" s="7" t="s">
        <v>75</v>
      </c>
      <c r="B45" s="11" t="n">
        <v>1</v>
      </c>
      <c r="C45" s="7" t="s">
        <v>76</v>
      </c>
      <c r="D45" s="7" t="s">
        <v>77</v>
      </c>
    </row>
    <row r="46" customFormat="false" ht="15" hidden="false" customHeight="false" outlineLevel="0" collapsed="false">
      <c r="A46" s="7" t="s">
        <v>78</v>
      </c>
      <c r="B46" s="8" t="n">
        <v>2400</v>
      </c>
      <c r="C46" s="7" t="s">
        <v>19</v>
      </c>
      <c r="D46" s="7" t="s">
        <v>38</v>
      </c>
    </row>
    <row r="47" customFormat="false" ht="15" hidden="false" customHeight="false" outlineLevel="0" collapsed="false">
      <c r="A47" s="7" t="s">
        <v>79</v>
      </c>
      <c r="B47" s="10" t="n">
        <v>80</v>
      </c>
      <c r="C47" s="7" t="s">
        <v>80</v>
      </c>
      <c r="D47" s="7" t="s">
        <v>81</v>
      </c>
    </row>
    <row r="48" customFormat="false" ht="15" hidden="false" customHeight="false" outlineLevel="0" collapsed="false">
      <c r="A48" s="7" t="s">
        <v>82</v>
      </c>
      <c r="B48" s="14" t="n">
        <f aca="false">$B$45*$B$46*$B$47</f>
        <v>192000</v>
      </c>
      <c r="C48" s="7" t="s">
        <v>66</v>
      </c>
      <c r="D48" s="7" t="s">
        <v>83</v>
      </c>
    </row>
    <row r="49" customFormat="false" ht="15" hidden="false" customHeight="false" outlineLevel="0" collapsed="false">
      <c r="A49" s="7" t="s">
        <v>84</v>
      </c>
      <c r="B49" s="8" t="n">
        <v>20000</v>
      </c>
      <c r="C49" s="7" t="s">
        <v>66</v>
      </c>
      <c r="D49" s="7" t="s">
        <v>85</v>
      </c>
    </row>
    <row r="50" customFormat="false" ht="15" hidden="false" customHeight="false" outlineLevel="0" collapsed="false">
      <c r="A50" s="7" t="s">
        <v>86</v>
      </c>
      <c r="B50" s="8" t="n">
        <v>300000</v>
      </c>
      <c r="C50" s="7" t="s">
        <v>87</v>
      </c>
      <c r="D50" s="7" t="s">
        <v>88</v>
      </c>
    </row>
    <row r="51" customFormat="false" ht="15" hidden="false" customHeight="false" outlineLevel="0" collapsed="false">
      <c r="A51" s="7" t="s">
        <v>89</v>
      </c>
      <c r="B51" s="8" t="n">
        <v>40000</v>
      </c>
      <c r="C51" s="7" t="s">
        <v>66</v>
      </c>
      <c r="D51" s="7" t="s">
        <v>90</v>
      </c>
    </row>
    <row r="52" customFormat="false" ht="15" hidden="false" customHeight="false" outlineLevel="0" collapsed="false">
      <c r="A52" s="7" t="s">
        <v>91</v>
      </c>
      <c r="B52" s="8" t="n">
        <v>0</v>
      </c>
      <c r="C52" s="7" t="s">
        <v>66</v>
      </c>
      <c r="D52" s="7" t="s">
        <v>92</v>
      </c>
    </row>
    <row r="54" customFormat="false" ht="15" hidden="false" customHeight="false" outlineLevel="0" collapsed="false">
      <c r="A54" s="6" t="s">
        <v>93</v>
      </c>
      <c r="B54" s="6" t="s">
        <v>15</v>
      </c>
      <c r="C54" s="6" t="s">
        <v>16</v>
      </c>
      <c r="D54" s="6" t="s">
        <v>17</v>
      </c>
    </row>
    <row r="55" customFormat="false" ht="15" hidden="false" customHeight="false" outlineLevel="0" collapsed="false">
      <c r="A55" s="7" t="s">
        <v>94</v>
      </c>
      <c r="B55" s="8" t="n">
        <v>0</v>
      </c>
      <c r="C55" s="7" t="s">
        <v>66</v>
      </c>
      <c r="D55" s="7" t="s">
        <v>95</v>
      </c>
    </row>
    <row r="56" customFormat="false" ht="15" hidden="false" customHeight="false" outlineLevel="0" collapsed="false">
      <c r="A56" s="7" t="s">
        <v>96</v>
      </c>
      <c r="B56" s="8" t="n">
        <v>0</v>
      </c>
      <c r="C56" s="7" t="s">
        <v>66</v>
      </c>
      <c r="D56" s="7" t="s">
        <v>97</v>
      </c>
    </row>
    <row r="57" customFormat="false" ht="15" hidden="false" customHeight="false" outlineLevel="0" collapsed="false">
      <c r="A57" s="7" t="s">
        <v>98</v>
      </c>
      <c r="B57" s="8" t="n">
        <v>0</v>
      </c>
      <c r="C57" s="7" t="s">
        <v>66</v>
      </c>
      <c r="D57" s="7" t="s">
        <v>99</v>
      </c>
    </row>
    <row r="58" customFormat="false" ht="15" hidden="false" customHeight="false" outlineLevel="0" collapsed="false">
      <c r="A58" s="7" t="s">
        <v>100</v>
      </c>
      <c r="B58" s="8" t="n">
        <v>15000</v>
      </c>
      <c r="C58" s="7" t="s">
        <v>66</v>
      </c>
      <c r="D58" s="7" t="s">
        <v>38</v>
      </c>
    </row>
    <row r="59" customFormat="false" ht="15" hidden="false" customHeight="false" outlineLevel="0" collapsed="false">
      <c r="A59" s="7" t="s">
        <v>101</v>
      </c>
      <c r="B59" s="10" t="n">
        <v>12</v>
      </c>
      <c r="C59" s="7" t="s">
        <v>102</v>
      </c>
      <c r="D59" s="7" t="s">
        <v>103</v>
      </c>
    </row>
    <row r="60" customFormat="false" ht="15" hidden="false" customHeight="false" outlineLevel="0" collapsed="false">
      <c r="A60" s="7" t="s">
        <v>104</v>
      </c>
      <c r="B60" s="15" t="n">
        <v>25</v>
      </c>
      <c r="C60" s="7" t="s">
        <v>105</v>
      </c>
      <c r="D60" s="7" t="s">
        <v>106</v>
      </c>
    </row>
    <row r="61" customFormat="false" ht="15" hidden="false" customHeight="false" outlineLevel="0" collapsed="false">
      <c r="A61" s="7" t="s">
        <v>107</v>
      </c>
      <c r="B61" s="14" t="n">
        <f aca="false">$B$59*$B$60*$B$22</f>
        <v>25200</v>
      </c>
      <c r="C61" s="7" t="s">
        <v>66</v>
      </c>
      <c r="D61" s="7" t="s">
        <v>108</v>
      </c>
    </row>
    <row r="63" customFormat="false" ht="26.85" hidden="false" customHeight="false" outlineLevel="0" collapsed="false">
      <c r="A63" s="6" t="s">
        <v>109</v>
      </c>
      <c r="B63" s="6" t="s">
        <v>15</v>
      </c>
      <c r="C63" s="6" t="s">
        <v>16</v>
      </c>
      <c r="D63" s="6" t="s">
        <v>17</v>
      </c>
    </row>
    <row r="64" customFormat="false" ht="15" hidden="false" customHeight="false" outlineLevel="0" collapsed="false">
      <c r="A64" s="7" t="s">
        <v>110</v>
      </c>
      <c r="B64" s="10" t="n">
        <v>30</v>
      </c>
      <c r="C64" s="7" t="s">
        <v>111</v>
      </c>
      <c r="D64" s="7" t="s">
        <v>112</v>
      </c>
    </row>
    <row r="65" customFormat="false" ht="15" hidden="false" customHeight="false" outlineLevel="0" collapsed="false">
      <c r="A65" s="7" t="s">
        <v>113</v>
      </c>
      <c r="B65" s="10" t="n">
        <v>5</v>
      </c>
      <c r="C65" s="7" t="s">
        <v>111</v>
      </c>
      <c r="D65" s="7" t="s">
        <v>38</v>
      </c>
    </row>
    <row r="66" customFormat="false" ht="15" hidden="false" customHeight="false" outlineLevel="0" collapsed="false">
      <c r="A66" s="7" t="s">
        <v>114</v>
      </c>
      <c r="B66" s="15" t="n">
        <v>10</v>
      </c>
      <c r="C66" s="7" t="s">
        <v>115</v>
      </c>
      <c r="D66" s="7" t="s">
        <v>116</v>
      </c>
    </row>
    <row r="67" customFormat="false" ht="15" hidden="false" customHeight="false" outlineLevel="0" collapsed="false">
      <c r="A67" s="7" t="s">
        <v>117</v>
      </c>
      <c r="B67" s="15" t="n">
        <v>50</v>
      </c>
      <c r="C67" s="7" t="s">
        <v>115</v>
      </c>
      <c r="D67" s="7" t="s">
        <v>116</v>
      </c>
    </row>
    <row r="68" customFormat="false" ht="15" hidden="false" customHeight="false" outlineLevel="0" collapsed="false">
      <c r="A68" s="7" t="s">
        <v>118</v>
      </c>
      <c r="B68" s="10" t="n">
        <v>10</v>
      </c>
      <c r="C68" s="7" t="s">
        <v>111</v>
      </c>
      <c r="D68" s="7" t="s">
        <v>119</v>
      </c>
    </row>
    <row r="69" customFormat="false" ht="15" hidden="false" customHeight="false" outlineLevel="0" collapsed="false">
      <c r="A69" s="7" t="s">
        <v>120</v>
      </c>
      <c r="B69" s="10" t="n">
        <v>2</v>
      </c>
      <c r="C69" s="7" t="s">
        <v>111</v>
      </c>
      <c r="D69" s="7" t="s">
        <v>38</v>
      </c>
    </row>
    <row r="70" customFormat="false" ht="15" hidden="false" customHeight="false" outlineLevel="0" collapsed="false">
      <c r="A70" s="7" t="s">
        <v>121</v>
      </c>
      <c r="B70" s="15" t="n">
        <v>2</v>
      </c>
      <c r="C70" s="7" t="s">
        <v>115</v>
      </c>
      <c r="D70" s="7" t="s">
        <v>122</v>
      </c>
    </row>
    <row r="71" customFormat="false" ht="15" hidden="false" customHeight="false" outlineLevel="0" collapsed="false">
      <c r="A71" s="7" t="s">
        <v>123</v>
      </c>
      <c r="B71" s="15" t="n">
        <v>10</v>
      </c>
      <c r="C71" s="7" t="s">
        <v>115</v>
      </c>
      <c r="D71" s="7" t="s">
        <v>122</v>
      </c>
    </row>
    <row r="72" customFormat="false" ht="15" hidden="false" customHeight="false" outlineLevel="0" collapsed="false">
      <c r="A72" s="7" t="s">
        <v>124</v>
      </c>
      <c r="B72" s="15" t="n">
        <v>1</v>
      </c>
      <c r="C72" s="7" t="s">
        <v>115</v>
      </c>
      <c r="D72" s="7" t="s">
        <v>125</v>
      </c>
    </row>
    <row r="73" customFormat="false" ht="15" hidden="false" customHeight="false" outlineLevel="0" collapsed="false">
      <c r="A73" s="7" t="s">
        <v>126</v>
      </c>
      <c r="B73" s="15" t="n">
        <v>5</v>
      </c>
      <c r="C73" s="7" t="s">
        <v>115</v>
      </c>
      <c r="D73" s="7" t="s">
        <v>125</v>
      </c>
    </row>
    <row r="74" customFormat="false" ht="15" hidden="false" customHeight="false" outlineLevel="0" collapsed="false">
      <c r="A74" s="7" t="s">
        <v>127</v>
      </c>
      <c r="B74" s="16" t="n">
        <f aca="false">$B$64*$B$66+$B$65*$B$67+$B$68*$B$70+$B$69*$B$71</f>
        <v>590</v>
      </c>
      <c r="C74" s="7" t="s">
        <v>128</v>
      </c>
      <c r="D74" s="7" t="s">
        <v>129</v>
      </c>
    </row>
    <row r="75" customFormat="false" ht="15" hidden="false" customHeight="false" outlineLevel="0" collapsed="false">
      <c r="A75" s="7" t="s">
        <v>130</v>
      </c>
      <c r="B75" s="14" t="n">
        <f aca="false">$B$74*$B$22</f>
        <v>49560</v>
      </c>
      <c r="C75" s="7" t="s">
        <v>66</v>
      </c>
      <c r="D75" s="7" t="s">
        <v>131</v>
      </c>
    </row>
    <row r="77" customFormat="false" ht="15" hidden="false" customHeight="false" outlineLevel="0" collapsed="false">
      <c r="A77" s="6" t="s">
        <v>132</v>
      </c>
      <c r="B77" s="6" t="s">
        <v>15</v>
      </c>
      <c r="C77" s="6" t="s">
        <v>16</v>
      </c>
      <c r="D77" s="6" t="s">
        <v>17</v>
      </c>
    </row>
    <row r="78" customFormat="false" ht="15" hidden="false" customHeight="false" outlineLevel="0" collapsed="false">
      <c r="A78" s="7" t="s">
        <v>133</v>
      </c>
      <c r="B78" s="8" t="n">
        <v>400000</v>
      </c>
      <c r="C78" s="7" t="s">
        <v>134</v>
      </c>
      <c r="D78" s="7" t="s">
        <v>38</v>
      </c>
    </row>
    <row r="79" customFormat="false" ht="15" hidden="false" customHeight="false" outlineLevel="0" collapsed="false">
      <c r="A79" s="7" t="s">
        <v>135</v>
      </c>
      <c r="B79" s="8" t="n">
        <v>250000</v>
      </c>
      <c r="C79" s="7" t="s">
        <v>134</v>
      </c>
      <c r="D79" s="7" t="s">
        <v>136</v>
      </c>
    </row>
    <row r="80" customFormat="false" ht="15" hidden="false" customHeight="false" outlineLevel="0" collapsed="false">
      <c r="A80" s="7" t="s">
        <v>137</v>
      </c>
      <c r="B80" s="8" t="n">
        <v>0</v>
      </c>
      <c r="C80" s="7" t="s">
        <v>134</v>
      </c>
      <c r="D80" s="7" t="s">
        <v>138</v>
      </c>
    </row>
    <row r="82" customFormat="false" ht="15" hidden="false" customHeight="false" outlineLevel="0" collapsed="false">
      <c r="A82" s="6" t="s">
        <v>139</v>
      </c>
      <c r="B82" s="6" t="s">
        <v>15</v>
      </c>
      <c r="C82" s="6" t="s">
        <v>16</v>
      </c>
      <c r="D82" s="6" t="s">
        <v>17</v>
      </c>
    </row>
    <row r="83" customFormat="false" ht="15" hidden="false" customHeight="false" outlineLevel="0" collapsed="false">
      <c r="A83" s="7" t="s">
        <v>140</v>
      </c>
      <c r="B83" s="17" t="n">
        <v>0</v>
      </c>
      <c r="C83" s="7" t="s">
        <v>66</v>
      </c>
      <c r="D83" s="7" t="s">
        <v>141</v>
      </c>
    </row>
    <row r="84" customFormat="false" ht="15" hidden="false" customHeight="false" outlineLevel="0" collapsed="false">
      <c r="A84" s="7" t="s">
        <v>142</v>
      </c>
      <c r="B84" s="15" t="n">
        <v>39</v>
      </c>
      <c r="C84" s="7" t="s">
        <v>128</v>
      </c>
      <c r="D84" s="7" t="s">
        <v>143</v>
      </c>
    </row>
    <row r="85" customFormat="false" ht="15" hidden="false" customHeight="false" outlineLevel="0" collapsed="false">
      <c r="A85" s="7" t="s">
        <v>144</v>
      </c>
      <c r="B85" s="10" t="n">
        <v>3</v>
      </c>
      <c r="C85" s="7" t="s">
        <v>145</v>
      </c>
      <c r="D85" s="7" t="s">
        <v>146</v>
      </c>
    </row>
    <row r="86" customFormat="false" ht="15" hidden="false" customHeight="false" outlineLevel="0" collapsed="false">
      <c r="A86" s="7" t="s">
        <v>147</v>
      </c>
      <c r="B86" s="15" t="n">
        <v>39</v>
      </c>
      <c r="C86" s="7" t="s">
        <v>128</v>
      </c>
      <c r="D86" s="18" t="s">
        <v>148</v>
      </c>
    </row>
    <row r="87" customFormat="false" ht="15" hidden="false" customHeight="false" outlineLevel="0" collapsed="false">
      <c r="A87" s="7" t="s">
        <v>149</v>
      </c>
      <c r="B87" s="10" t="n">
        <v>1</v>
      </c>
      <c r="C87" s="7" t="s">
        <v>150</v>
      </c>
      <c r="D87" s="7" t="s">
        <v>151</v>
      </c>
    </row>
    <row r="89" customFormat="false" ht="15" hidden="false" customHeight="false" outlineLevel="0" collapsed="false">
      <c r="A89" s="6" t="s">
        <v>152</v>
      </c>
      <c r="B89" s="6" t="s">
        <v>15</v>
      </c>
      <c r="C89" s="6" t="s">
        <v>16</v>
      </c>
      <c r="D89" s="6" t="s">
        <v>17</v>
      </c>
    </row>
    <row r="90" customFormat="false" ht="15" hidden="false" customHeight="false" outlineLevel="0" collapsed="false">
      <c r="A90" s="7" t="s">
        <v>153</v>
      </c>
      <c r="B90" s="19" t="n">
        <v>0.8</v>
      </c>
      <c r="C90" s="7" t="s">
        <v>154</v>
      </c>
      <c r="D90" s="7" t="s">
        <v>155</v>
      </c>
    </row>
    <row r="91" customFormat="false" ht="15" hidden="false" customHeight="false" outlineLevel="0" collapsed="false">
      <c r="A91" s="7" t="s">
        <v>156</v>
      </c>
      <c r="B91" s="19" t="n">
        <v>1</v>
      </c>
      <c r="C91" s="7" t="s">
        <v>154</v>
      </c>
      <c r="D91" s="7"/>
    </row>
    <row r="92" customFormat="false" ht="15" hidden="false" customHeight="false" outlineLevel="0" collapsed="false">
      <c r="A92" s="7" t="s">
        <v>157</v>
      </c>
      <c r="B92" s="19" t="n">
        <v>1.3</v>
      </c>
      <c r="C92" s="7" t="s">
        <v>154</v>
      </c>
      <c r="D92" s="7"/>
    </row>
    <row r="94" customFormat="false" ht="15" hidden="false" customHeight="false" outlineLevel="0" collapsed="false">
      <c r="A94" s="6" t="s">
        <v>158</v>
      </c>
      <c r="B94" s="6" t="s">
        <v>15</v>
      </c>
      <c r="C94" s="6" t="s">
        <v>16</v>
      </c>
      <c r="D94" s="6" t="s">
        <v>17</v>
      </c>
    </row>
    <row r="95" customFormat="false" ht="15" hidden="false" customHeight="false" outlineLevel="0" collapsed="false">
      <c r="A95" s="7" t="s">
        <v>159</v>
      </c>
      <c r="B95" s="9" t="n">
        <v>0</v>
      </c>
      <c r="C95" s="7" t="s">
        <v>34</v>
      </c>
      <c r="D95" s="7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42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161</v>
      </c>
    </row>
    <row r="3" customFormat="false" ht="26.85" hidden="false" customHeight="false" outlineLevel="0" collapsed="false">
      <c r="A3" s="6" t="s">
        <v>162</v>
      </c>
      <c r="B3" s="6" t="s">
        <v>163</v>
      </c>
      <c r="C3" s="6" t="s">
        <v>164</v>
      </c>
      <c r="D3" s="6" t="s">
        <v>165</v>
      </c>
      <c r="E3" s="6" t="s">
        <v>166</v>
      </c>
      <c r="F3" s="6" t="s">
        <v>167</v>
      </c>
      <c r="G3" s="6" t="s">
        <v>168</v>
      </c>
      <c r="H3" s="6" t="s">
        <v>169</v>
      </c>
      <c r="I3" s="6" t="s">
        <v>170</v>
      </c>
      <c r="J3" s="6" t="s">
        <v>171</v>
      </c>
    </row>
    <row r="4" customFormat="false" ht="15" hidden="false" customHeight="false" outlineLevel="0" collapsed="false">
      <c r="A4" s="7" t="s">
        <v>172</v>
      </c>
      <c r="B4" s="7" t="s">
        <v>173</v>
      </c>
      <c r="C4" s="20" t="s">
        <v>174</v>
      </c>
      <c r="D4" s="20" t="s">
        <v>18</v>
      </c>
      <c r="E4" s="12" t="n">
        <v>160</v>
      </c>
      <c r="F4" s="21" t="n">
        <f aca="false">VLOOKUP(D4,Assumptions!$A$5:$B$16,2,FALSE())</f>
        <v>3500</v>
      </c>
      <c r="G4" s="14" t="n">
        <f aca="false">E4*F4</f>
        <v>560000</v>
      </c>
      <c r="H4" s="20" t="s">
        <v>175</v>
      </c>
      <c r="I4" s="7" t="s">
        <v>176</v>
      </c>
      <c r="J4" s="22" t="str">
        <f aca="false">IF(C4="ALL","Cross-cutting — all releases",INDEX(Assumptions!$A$26:$A$32,MATCH(C4&amp;" —*",Assumptions!$A$26:$A$32,0))&amp;" ("&amp;INDEX(Assumptions!$B$26:$B$32,MATCH(C4&amp;" —*",Assumptions!$A$26:$A$32,0))&amp;" wk)")</f>
        <v>R0 — Read-only pilot &amp; foundations (8 wk)</v>
      </c>
    </row>
    <row r="5" customFormat="false" ht="15" hidden="false" customHeight="false" outlineLevel="0" collapsed="false">
      <c r="A5" s="7" t="s">
        <v>177</v>
      </c>
      <c r="B5" s="7" t="s">
        <v>178</v>
      </c>
      <c r="C5" s="20" t="s">
        <v>174</v>
      </c>
      <c r="D5" s="20" t="s">
        <v>28</v>
      </c>
      <c r="E5" s="12" t="n">
        <v>240</v>
      </c>
      <c r="F5" s="21" t="n">
        <f aca="false">VLOOKUP(D5,Assumptions!$A$5:$B$16,2,FALSE())</f>
        <v>2000</v>
      </c>
      <c r="G5" s="14" t="n">
        <f aca="false">E5*F5</f>
        <v>480000</v>
      </c>
      <c r="H5" s="20" t="s">
        <v>179</v>
      </c>
      <c r="I5" s="7" t="s">
        <v>172</v>
      </c>
      <c r="J5" s="22" t="str">
        <f aca="false">IF(C5="ALL","Cross-cutting — all releases",INDEX(Assumptions!$A$26:$A$32,MATCH(C5&amp;" —*",Assumptions!$A$26:$A$32,0))&amp;" ("&amp;INDEX(Assumptions!$B$26:$B$32,MATCH(C5&amp;" —*",Assumptions!$A$26:$A$32,0))&amp;" wk)")</f>
        <v>R0 — Read-only pilot &amp; foundations (8 wk)</v>
      </c>
    </row>
    <row r="6" customFormat="false" ht="15" hidden="false" customHeight="false" outlineLevel="0" collapsed="false">
      <c r="A6" s="7" t="s">
        <v>180</v>
      </c>
      <c r="B6" s="7" t="s">
        <v>181</v>
      </c>
      <c r="C6" s="20" t="s">
        <v>174</v>
      </c>
      <c r="D6" s="20" t="s">
        <v>21</v>
      </c>
      <c r="E6" s="12" t="n">
        <v>420</v>
      </c>
      <c r="F6" s="21" t="n">
        <f aca="false">VLOOKUP(D6,Assumptions!$A$5:$B$16,2,FALSE())</f>
        <v>3000</v>
      </c>
      <c r="G6" s="14" t="n">
        <f aca="false">E6*F6</f>
        <v>1260000</v>
      </c>
      <c r="H6" s="20" t="s">
        <v>22</v>
      </c>
      <c r="I6" s="7" t="s">
        <v>172</v>
      </c>
      <c r="J6" s="22" t="str">
        <f aca="false">IF(C6="ALL","Cross-cutting — all releases",INDEX(Assumptions!$A$26:$A$32,MATCH(C6&amp;" —*",Assumptions!$A$26:$A$32,0))&amp;" ("&amp;INDEX(Assumptions!$B$26:$B$32,MATCH(C6&amp;" —*",Assumptions!$A$26:$A$32,0))&amp;" wk)")</f>
        <v>R0 — Read-only pilot &amp; foundations (8 wk)</v>
      </c>
    </row>
    <row r="7" customFormat="false" ht="15" hidden="false" customHeight="false" outlineLevel="0" collapsed="false">
      <c r="A7" s="7" t="s">
        <v>182</v>
      </c>
      <c r="B7" s="7" t="s">
        <v>183</v>
      </c>
      <c r="C7" s="20" t="s">
        <v>174</v>
      </c>
      <c r="D7" s="20" t="s">
        <v>22</v>
      </c>
      <c r="E7" s="12" t="n">
        <v>220</v>
      </c>
      <c r="F7" s="21" t="n">
        <f aca="false">VLOOKUP(D7,Assumptions!$A$5:$B$16,2,FALSE())</f>
        <v>2400</v>
      </c>
      <c r="G7" s="14" t="n">
        <f aca="false">E7*F7</f>
        <v>528000</v>
      </c>
      <c r="H7" s="20" t="s">
        <v>22</v>
      </c>
      <c r="I7" s="7" t="s">
        <v>180</v>
      </c>
      <c r="J7" s="22" t="str">
        <f aca="false">IF(C7="ALL","Cross-cutting — all releases",INDEX(Assumptions!$A$26:$A$32,MATCH(C7&amp;" —*",Assumptions!$A$26:$A$32,0))&amp;" ("&amp;INDEX(Assumptions!$B$26:$B$32,MATCH(C7&amp;" —*",Assumptions!$A$26:$A$32,0))&amp;" wk)")</f>
        <v>R0 — Read-only pilot &amp; foundations (8 wk)</v>
      </c>
    </row>
    <row r="8" customFormat="false" ht="15" hidden="false" customHeight="false" outlineLevel="0" collapsed="false">
      <c r="A8" s="7" t="s">
        <v>184</v>
      </c>
      <c r="B8" s="7" t="s">
        <v>185</v>
      </c>
      <c r="C8" s="20" t="s">
        <v>174</v>
      </c>
      <c r="D8" s="20" t="s">
        <v>25</v>
      </c>
      <c r="E8" s="12" t="n">
        <v>480</v>
      </c>
      <c r="F8" s="21" t="n">
        <f aca="false">VLOOKUP(D8,Assumptions!$A$5:$B$16,2,FALSE())</f>
        <v>2600</v>
      </c>
      <c r="G8" s="14" t="n">
        <f aca="false">E8*F8</f>
        <v>1248000</v>
      </c>
      <c r="H8" s="20" t="s">
        <v>186</v>
      </c>
      <c r="I8" s="7" t="s">
        <v>187</v>
      </c>
      <c r="J8" s="22" t="str">
        <f aca="false">IF(C8="ALL","Cross-cutting — all releases",INDEX(Assumptions!$A$26:$A$32,MATCH(C8&amp;" —*",Assumptions!$A$26:$A$32,0))&amp;" ("&amp;INDEX(Assumptions!$B$26:$B$32,MATCH(C8&amp;" —*",Assumptions!$A$26:$A$32,0))&amp;" wk)")</f>
        <v>R0 — Read-only pilot &amp; foundations (8 wk)</v>
      </c>
    </row>
    <row r="9" customFormat="false" ht="15" hidden="false" customHeight="false" outlineLevel="0" collapsed="false">
      <c r="A9" s="7" t="s">
        <v>188</v>
      </c>
      <c r="B9" s="7" t="s">
        <v>189</v>
      </c>
      <c r="C9" s="20" t="s">
        <v>174</v>
      </c>
      <c r="D9" s="20" t="s">
        <v>22</v>
      </c>
      <c r="E9" s="12" t="n">
        <v>320</v>
      </c>
      <c r="F9" s="21" t="n">
        <f aca="false">VLOOKUP(D9,Assumptions!$A$5:$B$16,2,FALSE())</f>
        <v>2400</v>
      </c>
      <c r="G9" s="14" t="n">
        <f aca="false">E9*F9</f>
        <v>768000</v>
      </c>
      <c r="H9" s="20" t="s">
        <v>22</v>
      </c>
      <c r="I9" s="7" t="s">
        <v>190</v>
      </c>
      <c r="J9" s="22" t="str">
        <f aca="false">IF(C9="ALL","Cross-cutting — all releases",INDEX(Assumptions!$A$26:$A$32,MATCH(C9&amp;" —*",Assumptions!$A$26:$A$32,0))&amp;" ("&amp;INDEX(Assumptions!$B$26:$B$32,MATCH(C9&amp;" —*",Assumptions!$A$26:$A$32,0))&amp;" wk)")</f>
        <v>R0 — Read-only pilot &amp; foundations (8 wk)</v>
      </c>
    </row>
    <row r="10" customFormat="false" ht="15" hidden="false" customHeight="false" outlineLevel="0" collapsed="false">
      <c r="A10" s="7" t="s">
        <v>191</v>
      </c>
      <c r="B10" s="7" t="s">
        <v>192</v>
      </c>
      <c r="C10" s="20" t="s">
        <v>193</v>
      </c>
      <c r="D10" s="20" t="s">
        <v>26</v>
      </c>
      <c r="E10" s="12" t="n">
        <v>520</v>
      </c>
      <c r="F10" s="21" t="n">
        <f aca="false">VLOOKUP(D10,Assumptions!$A$5:$B$16,2,FALSE())</f>
        <v>2600</v>
      </c>
      <c r="G10" s="14" t="n">
        <f aca="false">E10*F10</f>
        <v>1352000</v>
      </c>
      <c r="H10" s="20" t="s">
        <v>194</v>
      </c>
      <c r="I10" s="7" t="s">
        <v>195</v>
      </c>
      <c r="J10" s="22" t="str">
        <f aca="false">IF(C10="ALL","Cross-cutting — all releases",INDEX(Assumptions!$A$26:$A$32,MATCH(C10&amp;" —*",Assumptions!$A$26:$A$32,0))&amp;" ("&amp;INDEX(Assumptions!$B$26:$B$32,MATCH(C10&amp;" —*",Assumptions!$A$26:$A$32,0))&amp;" wk)")</f>
        <v>R1 — India-first unified profit core (14 wk)</v>
      </c>
    </row>
    <row r="11" customFormat="false" ht="15" hidden="false" customHeight="false" outlineLevel="0" collapsed="false">
      <c r="A11" s="7" t="s">
        <v>196</v>
      </c>
      <c r="B11" s="7" t="s">
        <v>197</v>
      </c>
      <c r="C11" s="20" t="s">
        <v>193</v>
      </c>
      <c r="D11" s="20" t="s">
        <v>23</v>
      </c>
      <c r="E11" s="12" t="n">
        <v>480</v>
      </c>
      <c r="F11" s="21" t="n">
        <f aca="false">VLOOKUP(D11,Assumptions!$A$5:$B$16,2,FALSE())</f>
        <v>2200</v>
      </c>
      <c r="G11" s="14" t="n">
        <f aca="false">E11*F11</f>
        <v>1056000</v>
      </c>
      <c r="H11" s="20" t="s">
        <v>23</v>
      </c>
      <c r="I11" s="7" t="s">
        <v>198</v>
      </c>
      <c r="J11" s="22" t="str">
        <f aca="false">IF(C11="ALL","Cross-cutting — all releases",INDEX(Assumptions!$A$26:$A$32,MATCH(C11&amp;" —*",Assumptions!$A$26:$A$32,0))&amp;" ("&amp;INDEX(Assumptions!$B$26:$B$32,MATCH(C11&amp;" —*",Assumptions!$A$26:$A$32,0))&amp;" wk)")</f>
        <v>R1 — India-first unified profit core (14 wk)</v>
      </c>
    </row>
    <row r="12" customFormat="false" ht="15" hidden="false" customHeight="false" outlineLevel="0" collapsed="false">
      <c r="A12" s="7" t="s">
        <v>199</v>
      </c>
      <c r="B12" s="7" t="s">
        <v>200</v>
      </c>
      <c r="C12" s="20" t="s">
        <v>193</v>
      </c>
      <c r="D12" s="20" t="s">
        <v>24</v>
      </c>
      <c r="E12" s="12" t="n">
        <v>360</v>
      </c>
      <c r="F12" s="21" t="n">
        <f aca="false">VLOOKUP(D12,Assumptions!$A$5:$B$16,2,FALSE())</f>
        <v>2400</v>
      </c>
      <c r="G12" s="14" t="n">
        <f aca="false">E12*F12</f>
        <v>864000</v>
      </c>
      <c r="H12" s="20" t="s">
        <v>23</v>
      </c>
      <c r="I12" s="7" t="s">
        <v>191</v>
      </c>
      <c r="J12" s="22" t="str">
        <f aca="false">IF(C12="ALL","Cross-cutting — all releases",INDEX(Assumptions!$A$26:$A$32,MATCH(C12&amp;" —*",Assumptions!$A$26:$A$32,0))&amp;" ("&amp;INDEX(Assumptions!$B$26:$B$32,MATCH(C12&amp;" —*",Assumptions!$A$26:$A$32,0))&amp;" wk)")</f>
        <v>R1 — India-first unified profit core (14 wk)</v>
      </c>
    </row>
    <row r="13" customFormat="false" ht="15" hidden="false" customHeight="false" outlineLevel="0" collapsed="false">
      <c r="A13" s="7" t="s">
        <v>201</v>
      </c>
      <c r="B13" s="7" t="s">
        <v>202</v>
      </c>
      <c r="C13" s="20" t="s">
        <v>193</v>
      </c>
      <c r="D13" s="20" t="s">
        <v>24</v>
      </c>
      <c r="E13" s="12" t="n">
        <v>220</v>
      </c>
      <c r="F13" s="21" t="n">
        <f aca="false">VLOOKUP(D13,Assumptions!$A$5:$B$16,2,FALSE())</f>
        <v>2400</v>
      </c>
      <c r="G13" s="14" t="n">
        <f aca="false">E13*F13</f>
        <v>528000</v>
      </c>
      <c r="H13" s="20" t="s">
        <v>22</v>
      </c>
      <c r="I13" s="7" t="s">
        <v>191</v>
      </c>
      <c r="J13" s="22" t="str">
        <f aca="false">IF(C13="ALL","Cross-cutting — all releases",INDEX(Assumptions!$A$26:$A$32,MATCH(C13&amp;" —*",Assumptions!$A$26:$A$32,0))&amp;" ("&amp;INDEX(Assumptions!$B$26:$B$32,MATCH(C13&amp;" —*",Assumptions!$A$26:$A$32,0))&amp;" wk)")</f>
        <v>R1 — India-first unified profit core (14 wk)</v>
      </c>
    </row>
    <row r="14" customFormat="false" ht="15" hidden="false" customHeight="false" outlineLevel="0" collapsed="false">
      <c r="A14" s="7" t="s">
        <v>203</v>
      </c>
      <c r="B14" s="7" t="s">
        <v>204</v>
      </c>
      <c r="C14" s="20" t="s">
        <v>193</v>
      </c>
      <c r="D14" s="20" t="s">
        <v>22</v>
      </c>
      <c r="E14" s="12" t="n">
        <v>260</v>
      </c>
      <c r="F14" s="21" t="n">
        <f aca="false">VLOOKUP(D14,Assumptions!$A$5:$B$16,2,FALSE())</f>
        <v>2400</v>
      </c>
      <c r="G14" s="14" t="n">
        <f aca="false">E14*F14</f>
        <v>624000</v>
      </c>
      <c r="H14" s="20" t="s">
        <v>22</v>
      </c>
      <c r="I14" s="7" t="s">
        <v>205</v>
      </c>
      <c r="J14" s="22" t="str">
        <f aca="false">IF(C14="ALL","Cross-cutting — all releases",INDEX(Assumptions!$A$26:$A$32,MATCH(C14&amp;" —*",Assumptions!$A$26:$A$32,0))&amp;" ("&amp;INDEX(Assumptions!$B$26:$B$32,MATCH(C14&amp;" —*",Assumptions!$A$26:$A$32,0))&amp;" wk)")</f>
        <v>R1 — India-first unified profit core (14 wk)</v>
      </c>
    </row>
    <row r="15" customFormat="false" ht="15" hidden="false" customHeight="false" outlineLevel="0" collapsed="false">
      <c r="A15" s="7" t="s">
        <v>206</v>
      </c>
      <c r="B15" s="7" t="s">
        <v>207</v>
      </c>
      <c r="C15" s="20" t="s">
        <v>193</v>
      </c>
      <c r="D15" s="20" t="s">
        <v>25</v>
      </c>
      <c r="E15" s="12" t="n">
        <v>400</v>
      </c>
      <c r="F15" s="21" t="n">
        <f aca="false">VLOOKUP(D15,Assumptions!$A$5:$B$16,2,FALSE())</f>
        <v>2600</v>
      </c>
      <c r="G15" s="14" t="n">
        <f aca="false">E15*F15</f>
        <v>1040000</v>
      </c>
      <c r="H15" s="20" t="s">
        <v>186</v>
      </c>
      <c r="I15" s="7" t="s">
        <v>208</v>
      </c>
      <c r="J15" s="22" t="str">
        <f aca="false">IF(C15="ALL","Cross-cutting — all releases",INDEX(Assumptions!$A$26:$A$32,MATCH(C15&amp;" —*",Assumptions!$A$26:$A$32,0))&amp;" ("&amp;INDEX(Assumptions!$B$26:$B$32,MATCH(C15&amp;" —*",Assumptions!$A$26:$A$32,0))&amp;" wk)")</f>
        <v>R1 — India-first unified profit core (14 wk)</v>
      </c>
    </row>
    <row r="16" customFormat="false" ht="15" hidden="false" customHeight="false" outlineLevel="0" collapsed="false">
      <c r="A16" s="7" t="s">
        <v>209</v>
      </c>
      <c r="B16" s="7" t="s">
        <v>210</v>
      </c>
      <c r="C16" s="20" t="s">
        <v>193</v>
      </c>
      <c r="D16" s="20" t="s">
        <v>26</v>
      </c>
      <c r="E16" s="12" t="n">
        <v>280</v>
      </c>
      <c r="F16" s="21" t="n">
        <f aca="false">VLOOKUP(D16,Assumptions!$A$5:$B$16,2,FALSE())</f>
        <v>2600</v>
      </c>
      <c r="G16" s="14" t="n">
        <f aca="false">E16*F16</f>
        <v>728000</v>
      </c>
      <c r="H16" s="20" t="s">
        <v>194</v>
      </c>
      <c r="I16" s="7" t="s">
        <v>211</v>
      </c>
      <c r="J16" s="22" t="str">
        <f aca="false">IF(C16="ALL","Cross-cutting — all releases",INDEX(Assumptions!$A$26:$A$32,MATCH(C16&amp;" —*",Assumptions!$A$26:$A$32,0))&amp;" ("&amp;INDEX(Assumptions!$B$26:$B$32,MATCH(C16&amp;" —*",Assumptions!$A$26:$A$32,0))&amp;" wk)")</f>
        <v>R1 — India-first unified profit core (14 wk)</v>
      </c>
    </row>
    <row r="17" customFormat="false" ht="15" hidden="false" customHeight="false" outlineLevel="0" collapsed="false">
      <c r="A17" s="7" t="s">
        <v>212</v>
      </c>
      <c r="B17" s="7" t="s">
        <v>213</v>
      </c>
      <c r="C17" s="20" t="s">
        <v>214</v>
      </c>
      <c r="D17" s="20" t="s">
        <v>27</v>
      </c>
      <c r="E17" s="12" t="n">
        <v>220</v>
      </c>
      <c r="F17" s="21" t="n">
        <f aca="false">VLOOKUP(D17,Assumptions!$A$5:$B$16,2,FALSE())</f>
        <v>2400</v>
      </c>
      <c r="G17" s="14" t="n">
        <f aca="false">E17*F17</f>
        <v>528000</v>
      </c>
      <c r="H17" s="20" t="s">
        <v>194</v>
      </c>
      <c r="I17" s="7" t="s">
        <v>215</v>
      </c>
      <c r="J17" s="22" t="str">
        <f aca="false">IF(C17="ALL","Cross-cutting — all releases",INDEX(Assumptions!$A$26:$A$32,MATCH(C17&amp;" —*",Assumptions!$A$26:$A$32,0))&amp;" ("&amp;INDEX(Assumptions!$B$26:$B$32,MATCH(C17&amp;" —*",Assumptions!$A$26:$A$32,0))&amp;" wk)")</f>
        <v>R2 — All markets &amp; marketplaces (14 wk)</v>
      </c>
    </row>
    <row r="18" customFormat="false" ht="15" hidden="false" customHeight="false" outlineLevel="0" collapsed="false">
      <c r="A18" s="7" t="s">
        <v>216</v>
      </c>
      <c r="B18" s="7" t="s">
        <v>217</v>
      </c>
      <c r="C18" s="20" t="s">
        <v>218</v>
      </c>
      <c r="D18" s="20" t="s">
        <v>24</v>
      </c>
      <c r="E18" s="12" t="n">
        <v>480</v>
      </c>
      <c r="F18" s="21" t="n">
        <f aca="false">VLOOKUP(D18,Assumptions!$A$5:$B$16,2,FALSE())</f>
        <v>2400</v>
      </c>
      <c r="G18" s="14" t="n">
        <f aca="false">E18*F18</f>
        <v>1152000</v>
      </c>
      <c r="H18" s="20" t="s">
        <v>22</v>
      </c>
      <c r="I18" s="7" t="s">
        <v>219</v>
      </c>
      <c r="J18" s="22" t="str">
        <f aca="false">IF(C18="ALL","Cross-cutting — all releases",INDEX(Assumptions!$A$26:$A$32,MATCH(C18&amp;" —*",Assumptions!$A$26:$A$32,0))&amp;" ("&amp;INDEX(Assumptions!$B$26:$B$32,MATCH(C18&amp;" —*",Assumptions!$A$26:$A$32,0))&amp;" wk)")</f>
        <v>R3 — Operations (10 wk)</v>
      </c>
    </row>
    <row r="19" customFormat="false" ht="15" hidden="false" customHeight="false" outlineLevel="0" collapsed="false">
      <c r="A19" s="7" t="s">
        <v>220</v>
      </c>
      <c r="B19" s="7" t="s">
        <v>221</v>
      </c>
      <c r="C19" s="20" t="s">
        <v>218</v>
      </c>
      <c r="D19" s="20" t="s">
        <v>24</v>
      </c>
      <c r="E19" s="12" t="n">
        <v>260</v>
      </c>
      <c r="F19" s="21" t="n">
        <f aca="false">VLOOKUP(D19,Assumptions!$A$5:$B$16,2,FALSE())</f>
        <v>2400</v>
      </c>
      <c r="G19" s="14" t="n">
        <f aca="false">E19*F19</f>
        <v>624000</v>
      </c>
      <c r="H19" s="20" t="s">
        <v>22</v>
      </c>
      <c r="I19" s="7" t="s">
        <v>222</v>
      </c>
      <c r="J19" s="22" t="str">
        <f aca="false">IF(C19="ALL","Cross-cutting — all releases",INDEX(Assumptions!$A$26:$A$32,MATCH(C19&amp;" —*",Assumptions!$A$26:$A$32,0))&amp;" ("&amp;INDEX(Assumptions!$B$26:$B$32,MATCH(C19&amp;" —*",Assumptions!$A$26:$A$32,0))&amp;" wk)")</f>
        <v>R3 — Operations (10 wk)</v>
      </c>
    </row>
    <row r="20" customFormat="false" ht="15" hidden="false" customHeight="false" outlineLevel="0" collapsed="false">
      <c r="A20" s="7" t="s">
        <v>223</v>
      </c>
      <c r="B20" s="7" t="s">
        <v>224</v>
      </c>
      <c r="C20" s="20" t="s">
        <v>218</v>
      </c>
      <c r="D20" s="20" t="s">
        <v>22</v>
      </c>
      <c r="E20" s="12" t="n">
        <v>240</v>
      </c>
      <c r="F20" s="21" t="n">
        <f aca="false">VLOOKUP(D20,Assumptions!$A$5:$B$16,2,FALSE())</f>
        <v>2400</v>
      </c>
      <c r="G20" s="14" t="n">
        <f aca="false">E20*F20</f>
        <v>576000</v>
      </c>
      <c r="H20" s="20" t="s">
        <v>225</v>
      </c>
      <c r="I20" s="7" t="s">
        <v>188</v>
      </c>
      <c r="J20" s="22" t="str">
        <f aca="false">IF(C20="ALL","Cross-cutting — all releases",INDEX(Assumptions!$A$26:$A$32,MATCH(C20&amp;" —*",Assumptions!$A$26:$A$32,0))&amp;" ("&amp;INDEX(Assumptions!$B$26:$B$32,MATCH(C20&amp;" —*",Assumptions!$A$26:$A$32,0))&amp;" wk)")</f>
        <v>R3 — Operations (10 wk)</v>
      </c>
    </row>
    <row r="21" customFormat="false" ht="15" hidden="false" customHeight="false" outlineLevel="0" collapsed="false">
      <c r="A21" s="7" t="s">
        <v>226</v>
      </c>
      <c r="B21" s="7" t="s">
        <v>227</v>
      </c>
      <c r="C21" s="20" t="s">
        <v>218</v>
      </c>
      <c r="D21" s="20" t="s">
        <v>22</v>
      </c>
      <c r="E21" s="12" t="n">
        <v>280</v>
      </c>
      <c r="F21" s="21" t="n">
        <f aca="false">VLOOKUP(D21,Assumptions!$A$5:$B$16,2,FALSE())</f>
        <v>2400</v>
      </c>
      <c r="G21" s="14" t="n">
        <f aca="false">E21*F21</f>
        <v>672000</v>
      </c>
      <c r="H21" s="20" t="s">
        <v>225</v>
      </c>
      <c r="I21" s="7" t="s">
        <v>228</v>
      </c>
      <c r="J21" s="22" t="str">
        <f aca="false">IF(C21="ALL","Cross-cutting — all releases",INDEX(Assumptions!$A$26:$A$32,MATCH(C21&amp;" —*",Assumptions!$A$26:$A$32,0))&amp;" ("&amp;INDEX(Assumptions!$B$26:$B$32,MATCH(C21&amp;" —*",Assumptions!$A$26:$A$32,0))&amp;" wk)")</f>
        <v>R3 — Operations (10 wk)</v>
      </c>
    </row>
    <row r="22" customFormat="false" ht="15" hidden="false" customHeight="false" outlineLevel="0" collapsed="false">
      <c r="A22" s="7" t="s">
        <v>229</v>
      </c>
      <c r="B22" s="7" t="s">
        <v>230</v>
      </c>
      <c r="C22" s="20" t="s">
        <v>231</v>
      </c>
      <c r="D22" s="20" t="s">
        <v>24</v>
      </c>
      <c r="E22" s="12" t="n">
        <v>300</v>
      </c>
      <c r="F22" s="21" t="n">
        <f aca="false">VLOOKUP(D22,Assumptions!$A$5:$B$16,2,FALSE())</f>
        <v>2400</v>
      </c>
      <c r="G22" s="14" t="n">
        <f aca="false">E22*F22</f>
        <v>720000</v>
      </c>
      <c r="H22" s="20" t="s">
        <v>225</v>
      </c>
      <c r="I22" s="7" t="s">
        <v>232</v>
      </c>
      <c r="J22" s="22" t="str">
        <f aca="false">IF(C22="ALL","Cross-cutting — all releases",INDEX(Assumptions!$A$26:$A$32,MATCH(C22&amp;" —*",Assumptions!$A$26:$A$32,0))&amp;" ("&amp;INDEX(Assumptions!$B$26:$B$32,MATCH(C22&amp;" —*",Assumptions!$A$26:$A$32,0))&amp;" wk)")</f>
        <v>R4 — Pricing automation (conditional) (6 wk)</v>
      </c>
    </row>
    <row r="23" customFormat="false" ht="15" hidden="false" customHeight="false" outlineLevel="0" collapsed="false">
      <c r="A23" s="7" t="s">
        <v>233</v>
      </c>
      <c r="B23" s="7" t="s">
        <v>234</v>
      </c>
      <c r="C23" s="20" t="s">
        <v>214</v>
      </c>
      <c r="D23" s="20" t="s">
        <v>25</v>
      </c>
      <c r="E23" s="12" t="n">
        <v>600</v>
      </c>
      <c r="F23" s="21" t="n">
        <f aca="false">VLOOKUP(D23,Assumptions!$A$5:$B$16,2,FALSE())</f>
        <v>2600</v>
      </c>
      <c r="G23" s="14" t="n">
        <f aca="false">E23*F23</f>
        <v>1560000</v>
      </c>
      <c r="H23" s="20" t="s">
        <v>235</v>
      </c>
      <c r="I23" s="7" t="s">
        <v>236</v>
      </c>
      <c r="J23" s="22" t="str">
        <f aca="false">IF(C23="ALL","Cross-cutting — all releases",INDEX(Assumptions!$A$26:$A$32,MATCH(C23&amp;" —*",Assumptions!$A$26:$A$32,0))&amp;" ("&amp;INDEX(Assumptions!$B$26:$B$32,MATCH(C23&amp;" —*",Assumptions!$A$26:$A$32,0))&amp;" wk)")</f>
        <v>R2 — All markets &amp; marketplaces (14 wk)</v>
      </c>
    </row>
    <row r="24" customFormat="false" ht="15" hidden="false" customHeight="false" outlineLevel="0" collapsed="false">
      <c r="A24" s="7" t="s">
        <v>237</v>
      </c>
      <c r="B24" s="7" t="s">
        <v>238</v>
      </c>
      <c r="C24" s="20" t="s">
        <v>239</v>
      </c>
      <c r="D24" s="20" t="s">
        <v>23</v>
      </c>
      <c r="E24" s="12" t="n">
        <v>220</v>
      </c>
      <c r="F24" s="21" t="n">
        <f aca="false">VLOOKUP(D24,Assumptions!$A$5:$B$16,2,FALSE())</f>
        <v>2200</v>
      </c>
      <c r="G24" s="14" t="n">
        <f aca="false">E24*F24</f>
        <v>484000</v>
      </c>
      <c r="H24" s="20" t="s">
        <v>23</v>
      </c>
      <c r="I24" s="7" t="s">
        <v>240</v>
      </c>
      <c r="J24" s="22" t="str">
        <f aca="false">IF(C24="ALL","Cross-cutting — all releases",INDEX(Assumptions!$A$26:$A$32,MATCH(C24&amp;" —*",Assumptions!$A$26:$A$32,0))&amp;" ("&amp;INDEX(Assumptions!$B$26:$B$32,MATCH(C24&amp;" —*",Assumptions!$A$26:$A$32,0))&amp;" wk)")</f>
        <v>R5 — Extended operations connectors &amp; clients (10 wk)</v>
      </c>
    </row>
    <row r="25" customFormat="false" ht="15" hidden="false" customHeight="false" outlineLevel="0" collapsed="false">
      <c r="A25" s="7" t="s">
        <v>241</v>
      </c>
      <c r="B25" s="7" t="s">
        <v>242</v>
      </c>
      <c r="C25" s="20" t="s">
        <v>239</v>
      </c>
      <c r="D25" s="20" t="s">
        <v>24</v>
      </c>
      <c r="E25" s="12" t="n">
        <v>200</v>
      </c>
      <c r="F25" s="21" t="n">
        <f aca="false">VLOOKUP(D25,Assumptions!$A$5:$B$16,2,FALSE())</f>
        <v>2400</v>
      </c>
      <c r="G25" s="14" t="n">
        <f aca="false">E25*F25</f>
        <v>480000</v>
      </c>
      <c r="H25" s="20" t="s">
        <v>235</v>
      </c>
      <c r="I25" s="7" t="s">
        <v>243</v>
      </c>
      <c r="J25" s="22" t="str">
        <f aca="false">IF(C25="ALL","Cross-cutting — all releases",INDEX(Assumptions!$A$26:$A$32,MATCH(C25&amp;" —*",Assumptions!$A$26:$A$32,0))&amp;" ("&amp;INDEX(Assumptions!$B$26:$B$32,MATCH(C25&amp;" —*",Assumptions!$A$26:$A$32,0))&amp;" wk)")</f>
        <v>R5 — Extended operations connectors &amp; clients (10 wk)</v>
      </c>
    </row>
    <row r="26" customFormat="false" ht="15" hidden="false" customHeight="false" outlineLevel="0" collapsed="false">
      <c r="A26" s="7" t="s">
        <v>244</v>
      </c>
      <c r="B26" s="7" t="s">
        <v>245</v>
      </c>
      <c r="C26" s="20" t="s">
        <v>239</v>
      </c>
      <c r="D26" s="20" t="s">
        <v>22</v>
      </c>
      <c r="E26" s="12" t="n">
        <v>160</v>
      </c>
      <c r="F26" s="21" t="n">
        <f aca="false">VLOOKUP(D26,Assumptions!$A$5:$B$16,2,FALSE())</f>
        <v>2400</v>
      </c>
      <c r="G26" s="14" t="n">
        <f aca="false">E26*F26</f>
        <v>384000</v>
      </c>
      <c r="H26" s="20" t="s">
        <v>235</v>
      </c>
      <c r="I26" s="7" t="s">
        <v>246</v>
      </c>
      <c r="J26" s="22" t="str">
        <f aca="false">IF(C26="ALL","Cross-cutting — all releases",INDEX(Assumptions!$A$26:$A$32,MATCH(C26&amp;" —*",Assumptions!$A$26:$A$32,0))&amp;" ("&amp;INDEX(Assumptions!$B$26:$B$32,MATCH(C26&amp;" —*",Assumptions!$A$26:$A$32,0))&amp;" wk)")</f>
        <v>R5 — Extended operations connectors &amp; clients (10 wk)</v>
      </c>
    </row>
    <row r="27" customFormat="false" ht="15" hidden="false" customHeight="false" outlineLevel="0" collapsed="false">
      <c r="A27" s="7" t="s">
        <v>247</v>
      </c>
      <c r="B27" s="7" t="s">
        <v>248</v>
      </c>
      <c r="C27" s="20" t="s">
        <v>249</v>
      </c>
      <c r="D27" s="20" t="s">
        <v>29</v>
      </c>
      <c r="E27" s="12" t="n">
        <v>640</v>
      </c>
      <c r="F27" s="21" t="n">
        <f aca="false">VLOOKUP(D27,Assumptions!$A$5:$B$16,2,FALSE())</f>
        <v>1800</v>
      </c>
      <c r="G27" s="14" t="n">
        <f aca="false">E27*F27</f>
        <v>1152000</v>
      </c>
      <c r="H27" s="20" t="s">
        <v>250</v>
      </c>
      <c r="I27" s="7" t="s">
        <v>251</v>
      </c>
      <c r="J27" s="22" t="str">
        <f aca="false">IF(C27="ALL","Cross-cutting — all releases",INDEX(Assumptions!$A$26:$A$32,MATCH(C27&amp;" —*",Assumptions!$A$26:$A$32,0))&amp;" ("&amp;INDEX(Assumptions!$B$26:$B$32,MATCH(C27&amp;" —*",Assumptions!$A$26:$A$32,0))&amp;" wk)")</f>
        <v>Cross-cutting — all releases</v>
      </c>
    </row>
    <row r="28" customFormat="false" ht="15" hidden="false" customHeight="false" outlineLevel="0" collapsed="false">
      <c r="A28" s="7" t="s">
        <v>252</v>
      </c>
      <c r="B28" s="7" t="s">
        <v>253</v>
      </c>
      <c r="C28" s="20" t="s">
        <v>249</v>
      </c>
      <c r="D28" s="20" t="s">
        <v>30</v>
      </c>
      <c r="E28" s="12" t="n">
        <v>320</v>
      </c>
      <c r="F28" s="21" t="n">
        <f aca="false">VLOOKUP(D28,Assumptions!$A$5:$B$16,2,FALSE())</f>
        <v>2400</v>
      </c>
      <c r="G28" s="14" t="n">
        <f aca="false">E28*F28</f>
        <v>768000</v>
      </c>
      <c r="H28" s="20" t="s">
        <v>30</v>
      </c>
      <c r="I28" s="7" t="s">
        <v>251</v>
      </c>
      <c r="J28" s="22" t="str">
        <f aca="false">IF(C28="ALL","Cross-cutting — all releases",INDEX(Assumptions!$A$26:$A$32,MATCH(C28&amp;" —*",Assumptions!$A$26:$A$32,0))&amp;" ("&amp;INDEX(Assumptions!$B$26:$B$32,MATCH(C28&amp;" —*",Assumptions!$A$26:$A$32,0))&amp;" wk)")</f>
        <v>Cross-cutting — all releases</v>
      </c>
    </row>
    <row r="29" customFormat="false" ht="15" hidden="false" customHeight="false" outlineLevel="0" collapsed="false">
      <c r="A29" s="7" t="s">
        <v>254</v>
      </c>
      <c r="B29" s="7" t="s">
        <v>255</v>
      </c>
      <c r="C29" s="20" t="s">
        <v>249</v>
      </c>
      <c r="D29" s="20" t="s">
        <v>27</v>
      </c>
      <c r="E29" s="12" t="n">
        <v>240</v>
      </c>
      <c r="F29" s="21" t="n">
        <f aca="false">VLOOKUP(D29,Assumptions!$A$5:$B$16,2,FALSE())</f>
        <v>2400</v>
      </c>
      <c r="G29" s="14" t="n">
        <f aca="false">E29*F29</f>
        <v>576000</v>
      </c>
      <c r="H29" s="20" t="s">
        <v>137</v>
      </c>
      <c r="I29" s="7" t="s">
        <v>256</v>
      </c>
      <c r="J29" s="22" t="str">
        <f aca="false">IF(C29="ALL","Cross-cutting — all releases",INDEX(Assumptions!$A$26:$A$32,MATCH(C29&amp;" —*",Assumptions!$A$26:$A$32,0))&amp;" ("&amp;INDEX(Assumptions!$B$26:$B$32,MATCH(C29&amp;" —*",Assumptions!$A$26:$A$32,0))&amp;" wk)")</f>
        <v>Cross-cutting — all releases</v>
      </c>
    </row>
    <row r="30" customFormat="false" ht="15" hidden="false" customHeight="false" outlineLevel="0" collapsed="false">
      <c r="A30" s="7" t="s">
        <v>257</v>
      </c>
      <c r="B30" s="7" t="s">
        <v>258</v>
      </c>
      <c r="C30" s="20" t="s">
        <v>249</v>
      </c>
      <c r="D30" s="20" t="s">
        <v>31</v>
      </c>
      <c r="E30" s="12" t="n">
        <v>400</v>
      </c>
      <c r="F30" s="21" t="n">
        <f aca="false">VLOOKUP(D30,Assumptions!$A$5:$B$16,2,FALSE())</f>
        <v>3000</v>
      </c>
      <c r="G30" s="14" t="n">
        <f aca="false">E30*F30</f>
        <v>1200000</v>
      </c>
      <c r="H30" s="20" t="s">
        <v>259</v>
      </c>
      <c r="I30" s="7" t="s">
        <v>251</v>
      </c>
      <c r="J30" s="22" t="str">
        <f aca="false">IF(C30="ALL","Cross-cutting — all releases",INDEX(Assumptions!$A$26:$A$32,MATCH(C30&amp;" —*",Assumptions!$A$26:$A$32,0))&amp;" ("&amp;INDEX(Assumptions!$B$26:$B$32,MATCH(C30&amp;" —*",Assumptions!$A$26:$A$32,0))&amp;" wk)")</f>
        <v>Cross-cutting — all releases</v>
      </c>
    </row>
    <row r="31" customFormat="false" ht="15" hidden="false" customHeight="false" outlineLevel="0" collapsed="false">
      <c r="A31" s="7" t="s">
        <v>260</v>
      </c>
      <c r="B31" s="7" t="s">
        <v>261</v>
      </c>
      <c r="C31" s="20" t="s">
        <v>193</v>
      </c>
      <c r="D31" s="20" t="s">
        <v>24</v>
      </c>
      <c r="E31" s="12" t="n">
        <v>520</v>
      </c>
      <c r="F31" s="21" t="n">
        <f aca="false">VLOOKUP(D31,Assumptions!$A$5:$B$16,2,FALSE())</f>
        <v>2400</v>
      </c>
      <c r="G31" s="14" t="n">
        <f aca="false">E31*F31</f>
        <v>1248000</v>
      </c>
      <c r="H31" s="20" t="s">
        <v>22</v>
      </c>
      <c r="I31" s="7" t="s">
        <v>262</v>
      </c>
      <c r="J31" s="22" t="str">
        <f aca="false">IF(C31="ALL","Cross-cutting — all releases",INDEX(Assumptions!$A$26:$A$32,MATCH(C31&amp;" —*",Assumptions!$A$26:$A$32,0))&amp;" ("&amp;INDEX(Assumptions!$B$26:$B$32,MATCH(C31&amp;" —*",Assumptions!$A$26:$A$32,0))&amp;" wk)")</f>
        <v>R1 — India-first unified profit core (14 wk)</v>
      </c>
    </row>
    <row r="32" customFormat="false" ht="15" hidden="false" customHeight="false" outlineLevel="0" collapsed="false">
      <c r="A32" s="7" t="s">
        <v>263</v>
      </c>
      <c r="B32" s="7" t="s">
        <v>264</v>
      </c>
      <c r="C32" s="20" t="s">
        <v>193</v>
      </c>
      <c r="D32" s="20" t="s">
        <v>26</v>
      </c>
      <c r="E32" s="12" t="n">
        <v>280</v>
      </c>
      <c r="F32" s="21" t="n">
        <f aca="false">VLOOKUP(D32,Assumptions!$A$5:$B$16,2,FALSE())</f>
        <v>2600</v>
      </c>
      <c r="G32" s="14" t="n">
        <f aca="false">E32*F32</f>
        <v>728000</v>
      </c>
      <c r="H32" s="20" t="s">
        <v>194</v>
      </c>
      <c r="I32" s="7" t="s">
        <v>265</v>
      </c>
      <c r="J32" s="22" t="str">
        <f aca="false">IF(C32="ALL","Cross-cutting — all releases",INDEX(Assumptions!$A$26:$A$32,MATCH(C32&amp;" —*",Assumptions!$A$26:$A$32,0))&amp;" ("&amp;INDEX(Assumptions!$B$26:$B$32,MATCH(C32&amp;" —*",Assumptions!$A$26:$A$32,0))&amp;" wk)")</f>
        <v>R1 — India-first unified profit core (14 wk)</v>
      </c>
    </row>
    <row r="33" customFormat="false" ht="15" hidden="false" customHeight="false" outlineLevel="0" collapsed="false">
      <c r="A33" s="7" t="s">
        <v>266</v>
      </c>
      <c r="B33" s="7" t="s">
        <v>267</v>
      </c>
      <c r="C33" s="20" t="s">
        <v>193</v>
      </c>
      <c r="D33" s="20" t="s">
        <v>23</v>
      </c>
      <c r="E33" s="12" t="n">
        <v>200</v>
      </c>
      <c r="F33" s="21" t="n">
        <f aca="false">VLOOKUP(D33,Assumptions!$A$5:$B$16,2,FALSE())</f>
        <v>2200</v>
      </c>
      <c r="G33" s="14" t="n">
        <f aca="false">E33*F33</f>
        <v>440000</v>
      </c>
      <c r="H33" s="20" t="s">
        <v>23</v>
      </c>
      <c r="I33" s="7" t="s">
        <v>268</v>
      </c>
      <c r="J33" s="22" t="str">
        <f aca="false">IF(C33="ALL","Cross-cutting — all releases",INDEX(Assumptions!$A$26:$A$32,MATCH(C33&amp;" —*",Assumptions!$A$26:$A$32,0))&amp;" ("&amp;INDEX(Assumptions!$B$26:$B$32,MATCH(C33&amp;" —*",Assumptions!$A$26:$A$32,0))&amp;" wk)")</f>
        <v>R1 — India-first unified profit core (14 wk)</v>
      </c>
    </row>
    <row r="34" customFormat="false" ht="15" hidden="false" customHeight="false" outlineLevel="0" collapsed="false">
      <c r="A34" s="7" t="s">
        <v>269</v>
      </c>
      <c r="B34" s="7" t="s">
        <v>270</v>
      </c>
      <c r="C34" s="20" t="s">
        <v>193</v>
      </c>
      <c r="D34" s="20" t="s">
        <v>26</v>
      </c>
      <c r="E34" s="12" t="n">
        <v>220</v>
      </c>
      <c r="F34" s="21" t="n">
        <f aca="false">VLOOKUP(D34,Assumptions!$A$5:$B$16,2,FALSE())</f>
        <v>2600</v>
      </c>
      <c r="G34" s="14" t="n">
        <f aca="false">E34*F34</f>
        <v>572000</v>
      </c>
      <c r="H34" s="20" t="s">
        <v>194</v>
      </c>
      <c r="I34" s="7" t="s">
        <v>271</v>
      </c>
      <c r="J34" s="22" t="str">
        <f aca="false">IF(C34="ALL","Cross-cutting — all releases",INDEX(Assumptions!$A$26:$A$32,MATCH(C34&amp;" —*",Assumptions!$A$26:$A$32,0))&amp;" ("&amp;INDEX(Assumptions!$B$26:$B$32,MATCH(C34&amp;" —*",Assumptions!$A$26:$A$32,0))&amp;" wk)")</f>
        <v>R1 — India-first unified profit core (14 wk)</v>
      </c>
    </row>
    <row r="35" customFormat="false" ht="15" hidden="false" customHeight="false" outlineLevel="0" collapsed="false">
      <c r="A35" s="7" t="s">
        <v>272</v>
      </c>
      <c r="B35" s="7" t="s">
        <v>273</v>
      </c>
      <c r="C35" s="20" t="s">
        <v>193</v>
      </c>
      <c r="D35" s="20" t="s">
        <v>25</v>
      </c>
      <c r="E35" s="12" t="n">
        <v>200</v>
      </c>
      <c r="F35" s="21" t="n">
        <f aca="false">VLOOKUP(D35,Assumptions!$A$5:$B$16,2,FALSE())</f>
        <v>2600</v>
      </c>
      <c r="G35" s="14" t="n">
        <f aca="false">E35*F35</f>
        <v>520000</v>
      </c>
      <c r="H35" s="20" t="s">
        <v>186</v>
      </c>
      <c r="I35" s="7" t="s">
        <v>274</v>
      </c>
      <c r="J35" s="22" t="str">
        <f aca="false">IF(C35="ALL","Cross-cutting — all releases",INDEX(Assumptions!$A$26:$A$32,MATCH(C35&amp;" —*",Assumptions!$A$26:$A$32,0))&amp;" ("&amp;INDEX(Assumptions!$B$26:$B$32,MATCH(C35&amp;" —*",Assumptions!$A$26:$A$32,0))&amp;" wk)")</f>
        <v>R1 — India-first unified profit core (14 wk)</v>
      </c>
    </row>
    <row r="36" customFormat="false" ht="15" hidden="false" customHeight="false" outlineLevel="0" collapsed="false">
      <c r="A36" s="7" t="s">
        <v>275</v>
      </c>
      <c r="B36" s="7" t="s">
        <v>276</v>
      </c>
      <c r="C36" s="20" t="s">
        <v>214</v>
      </c>
      <c r="D36" s="20" t="s">
        <v>26</v>
      </c>
      <c r="E36" s="12" t="n">
        <v>180</v>
      </c>
      <c r="F36" s="21" t="n">
        <f aca="false">VLOOKUP(D36,Assumptions!$A$5:$B$16,2,FALSE())</f>
        <v>2600</v>
      </c>
      <c r="G36" s="14" t="n">
        <f aca="false">E36*F36</f>
        <v>468000</v>
      </c>
      <c r="H36" s="20" t="s">
        <v>194</v>
      </c>
      <c r="I36" s="7" t="s">
        <v>277</v>
      </c>
      <c r="J36" s="22" t="str">
        <f aca="false">IF(C36="ALL","Cross-cutting — all releases",INDEX(Assumptions!$A$26:$A$32,MATCH(C36&amp;" —*",Assumptions!$A$26:$A$32,0))&amp;" ("&amp;INDEX(Assumptions!$B$26:$B$32,MATCH(C36&amp;" —*",Assumptions!$A$26:$A$32,0))&amp;" wk)")</f>
        <v>R2 — All markets &amp; marketplaces (14 wk)</v>
      </c>
    </row>
    <row r="37" customFormat="false" ht="15" hidden="false" customHeight="false" outlineLevel="0" collapsed="false">
      <c r="A37" s="7" t="s">
        <v>278</v>
      </c>
      <c r="B37" s="7" t="s">
        <v>279</v>
      </c>
      <c r="C37" s="20" t="s">
        <v>193</v>
      </c>
      <c r="D37" s="20" t="s">
        <v>25</v>
      </c>
      <c r="E37" s="12" t="n">
        <v>260</v>
      </c>
      <c r="F37" s="21" t="n">
        <f aca="false">VLOOKUP(D37,Assumptions!$A$5:$B$16,2,FALSE())</f>
        <v>2600</v>
      </c>
      <c r="G37" s="14" t="n">
        <f aca="false">E37*F37</f>
        <v>676000</v>
      </c>
      <c r="H37" s="20" t="s">
        <v>186</v>
      </c>
      <c r="I37" s="7" t="s">
        <v>280</v>
      </c>
      <c r="J37" s="22" t="str">
        <f aca="false">IF(C37="ALL","Cross-cutting — all releases",INDEX(Assumptions!$A$26:$A$32,MATCH(C37&amp;" —*",Assumptions!$A$26:$A$32,0))&amp;" ("&amp;INDEX(Assumptions!$B$26:$B$32,MATCH(C37&amp;" —*",Assumptions!$A$26:$A$32,0))&amp;" wk)")</f>
        <v>R1 — India-first unified profit core (14 wk)</v>
      </c>
    </row>
    <row r="38" customFormat="false" ht="15" hidden="false" customHeight="false" outlineLevel="0" collapsed="false">
      <c r="A38" s="7" t="s">
        <v>281</v>
      </c>
      <c r="B38" s="7" t="s">
        <v>282</v>
      </c>
      <c r="C38" s="20" t="s">
        <v>214</v>
      </c>
      <c r="D38" s="20" t="s">
        <v>25</v>
      </c>
      <c r="E38" s="12" t="n">
        <v>240</v>
      </c>
      <c r="F38" s="21" t="n">
        <f aca="false">VLOOKUP(D38,Assumptions!$A$5:$B$16,2,FALSE())</f>
        <v>2600</v>
      </c>
      <c r="G38" s="14" t="n">
        <f aca="false">E38*F38</f>
        <v>624000</v>
      </c>
      <c r="H38" s="20" t="s">
        <v>186</v>
      </c>
      <c r="I38" s="7" t="s">
        <v>283</v>
      </c>
      <c r="J38" s="22" t="str">
        <f aca="false">IF(C38="ALL","Cross-cutting — all releases",INDEX(Assumptions!$A$26:$A$32,MATCH(C38&amp;" —*",Assumptions!$A$26:$A$32,0))&amp;" ("&amp;INDEX(Assumptions!$B$26:$B$32,MATCH(C38&amp;" —*",Assumptions!$A$26:$A$32,0))&amp;" wk)")</f>
        <v>R2 — All markets &amp; marketplaces (14 wk)</v>
      </c>
    </row>
    <row r="39" customFormat="false" ht="15" hidden="false" customHeight="false" outlineLevel="0" collapsed="false">
      <c r="A39" s="7" t="s">
        <v>284</v>
      </c>
      <c r="B39" s="7" t="s">
        <v>285</v>
      </c>
      <c r="C39" s="20" t="s">
        <v>239</v>
      </c>
      <c r="D39" s="20" t="s">
        <v>25</v>
      </c>
      <c r="E39" s="12" t="n">
        <v>160</v>
      </c>
      <c r="F39" s="21" t="n">
        <f aca="false">VLOOKUP(D39,Assumptions!$A$5:$B$16,2,FALSE())</f>
        <v>2600</v>
      </c>
      <c r="G39" s="14" t="n">
        <f aca="false">E39*F39</f>
        <v>416000</v>
      </c>
      <c r="H39" s="20" t="s">
        <v>235</v>
      </c>
      <c r="I39" s="7" t="s">
        <v>286</v>
      </c>
      <c r="J39" s="22" t="str">
        <f aca="false">IF(C39="ALL","Cross-cutting — all releases",INDEX(Assumptions!$A$26:$A$32,MATCH(C39&amp;" —*",Assumptions!$A$26:$A$32,0))&amp;" ("&amp;INDEX(Assumptions!$B$26:$B$32,MATCH(C39&amp;" —*",Assumptions!$A$26:$A$32,0))&amp;" wk)")</f>
        <v>R5 — Extended operations connectors &amp; clients (10 wk)</v>
      </c>
    </row>
    <row r="40" customFormat="false" ht="15" hidden="false" customHeight="false" outlineLevel="0" collapsed="false">
      <c r="A40" s="23" t="s">
        <v>287</v>
      </c>
      <c r="B40" s="24"/>
      <c r="C40" s="24"/>
      <c r="D40" s="24"/>
      <c r="E40" s="25" t="n">
        <f aca="false">SUM(E4:E39)</f>
        <v>11180</v>
      </c>
      <c r="F40" s="24"/>
      <c r="G40" s="26" t="n">
        <f aca="false">SUM(G4:G39)</f>
        <v>27604000</v>
      </c>
      <c r="H40" s="24"/>
      <c r="I40" s="23" t="str">
        <f aca="false">IF(E40=11180,"OK — matches register 11,180 h","CHECK vs register 11,180 h")</f>
        <v>OK — matches register 11,180 h</v>
      </c>
      <c r="J40" s="24"/>
    </row>
    <row r="42" customFormat="false" ht="15" hidden="false" customHeight="false" outlineLevel="0" collapsed="false">
      <c r="A42" s="5" t="s">
        <v>288</v>
      </c>
    </row>
    <row r="43" customFormat="false" ht="15" hidden="false" customHeight="false" outlineLevel="0" collapsed="false">
      <c r="A43" s="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290</v>
      </c>
    </row>
    <row r="2" customFormat="false" ht="15" hidden="false" customHeight="false" outlineLevel="0" collapsed="false">
      <c r="A2" s="5" t="s">
        <v>291</v>
      </c>
    </row>
    <row r="4" customFormat="false" ht="26.85" hidden="false" customHeight="false" outlineLevel="0" collapsed="false">
      <c r="A4" s="6" t="s">
        <v>164</v>
      </c>
      <c r="B4" s="6" t="s">
        <v>166</v>
      </c>
      <c r="C4" s="6" t="s">
        <v>292</v>
      </c>
      <c r="D4" s="6" t="s">
        <v>293</v>
      </c>
      <c r="E4" s="6" t="s">
        <v>294</v>
      </c>
      <c r="F4" s="6" t="s">
        <v>17</v>
      </c>
    </row>
    <row r="5" customFormat="false" ht="15" hidden="false" customHeight="false" outlineLevel="0" collapsed="false">
      <c r="A5" s="7" t="s">
        <v>49</v>
      </c>
      <c r="B5" s="27" t="n">
        <f aca="false">SUMIFS(WorkPackages!$E$4:$E$39,WorkPackages!$C$4:$C$39,"R0")</f>
        <v>1840</v>
      </c>
      <c r="C5" s="21" t="n">
        <f aca="false">SUMIFS(WorkPackages!$G$4:$G$39,WorkPackages!$C$4:$C$39,"R0")</f>
        <v>4844000</v>
      </c>
      <c r="D5" s="14" t="n">
        <f aca="false">C5*Assumptions!$B$19</f>
        <v>968800</v>
      </c>
      <c r="E5" s="14" t="n">
        <f aca="false">C5+D5</f>
        <v>5812800</v>
      </c>
      <c r="F5" s="5" t="s">
        <v>295</v>
      </c>
    </row>
    <row r="6" customFormat="false" ht="15" hidden="false" customHeight="false" outlineLevel="0" collapsed="false">
      <c r="A6" s="7" t="s">
        <v>52</v>
      </c>
      <c r="B6" s="27" t="n">
        <f aca="false">SUMIFS(WorkPackages!$E$4:$E$39,WorkPackages!$C$4:$C$39,"R1")</f>
        <v>4200</v>
      </c>
      <c r="C6" s="21" t="n">
        <f aca="false">SUMIFS(WorkPackages!$G$4:$G$39,WorkPackages!$C$4:$C$39,"R1")</f>
        <v>10376000</v>
      </c>
      <c r="D6" s="14" t="n">
        <f aca="false">C6*Assumptions!$B$19</f>
        <v>2075200</v>
      </c>
      <c r="E6" s="14" t="n">
        <f aca="false">C6+D6</f>
        <v>12451200</v>
      </c>
      <c r="F6" s="5" t="s">
        <v>296</v>
      </c>
    </row>
    <row r="7" customFormat="false" ht="15" hidden="false" customHeight="false" outlineLevel="0" collapsed="false">
      <c r="A7" s="7" t="s">
        <v>54</v>
      </c>
      <c r="B7" s="27" t="n">
        <f aca="false">SUMIFS(WorkPackages!$E$4:$E$39,WorkPackages!$C$4:$C$39,"R2")</f>
        <v>1240</v>
      </c>
      <c r="C7" s="21" t="n">
        <f aca="false">SUMIFS(WorkPackages!$G$4:$G$39,WorkPackages!$C$4:$C$39,"R2")</f>
        <v>3180000</v>
      </c>
      <c r="D7" s="14" t="n">
        <f aca="false">C7*Assumptions!$B$19</f>
        <v>636000</v>
      </c>
      <c r="E7" s="14" t="n">
        <f aca="false">C7+D7</f>
        <v>3816000</v>
      </c>
      <c r="F7" s="5" t="s">
        <v>297</v>
      </c>
    </row>
    <row r="8" customFormat="false" ht="15" hidden="false" customHeight="false" outlineLevel="0" collapsed="false">
      <c r="A8" s="7" t="s">
        <v>56</v>
      </c>
      <c r="B8" s="27" t="n">
        <f aca="false">SUMIFS(WorkPackages!$E$4:$E$39,WorkPackages!$C$4:$C$39,"R3")</f>
        <v>1260</v>
      </c>
      <c r="C8" s="21" t="n">
        <f aca="false">SUMIFS(WorkPackages!$G$4:$G$39,WorkPackages!$C$4:$C$39,"R3")</f>
        <v>3024000</v>
      </c>
      <c r="D8" s="14" t="n">
        <f aca="false">C8*Assumptions!$B$19</f>
        <v>604800</v>
      </c>
      <c r="E8" s="14" t="n">
        <f aca="false">C8+D8</f>
        <v>3628800</v>
      </c>
      <c r="F8" s="5" t="s">
        <v>298</v>
      </c>
    </row>
    <row r="9" customFormat="false" ht="15" hidden="false" customHeight="false" outlineLevel="0" collapsed="false">
      <c r="A9" s="7" t="s">
        <v>58</v>
      </c>
      <c r="B9" s="27" t="n">
        <f aca="false">SUMIFS(WorkPackages!$E$4:$E$39,WorkPackages!$C$4:$C$39,"R4")</f>
        <v>300</v>
      </c>
      <c r="C9" s="21" t="n">
        <f aca="false">SUMIFS(WorkPackages!$G$4:$G$39,WorkPackages!$C$4:$C$39,"R4")</f>
        <v>720000</v>
      </c>
      <c r="D9" s="14" t="n">
        <f aca="false">C9*Assumptions!$B$19</f>
        <v>144000</v>
      </c>
      <c r="E9" s="14" t="n">
        <f aca="false">C9+D9</f>
        <v>864000</v>
      </c>
      <c r="F9" s="5" t="s">
        <v>299</v>
      </c>
    </row>
    <row r="10" customFormat="false" ht="15" hidden="false" customHeight="false" outlineLevel="0" collapsed="false">
      <c r="A10" s="7" t="s">
        <v>60</v>
      </c>
      <c r="B10" s="27" t="n">
        <f aca="false">SUMIFS(WorkPackages!$E$4:$E$39,WorkPackages!$C$4:$C$39,"R5")</f>
        <v>740</v>
      </c>
      <c r="C10" s="21" t="n">
        <f aca="false">SUMIFS(WorkPackages!$G$4:$G$39,WorkPackages!$C$4:$C$39,"R5")</f>
        <v>1764000</v>
      </c>
      <c r="D10" s="14" t="n">
        <f aca="false">C10*Assumptions!$B$19</f>
        <v>352800</v>
      </c>
      <c r="E10" s="14" t="n">
        <f aca="false">C10+D10</f>
        <v>2116800</v>
      </c>
      <c r="F10" s="5" t="s">
        <v>300</v>
      </c>
    </row>
    <row r="11" customFormat="false" ht="15" hidden="false" customHeight="false" outlineLevel="0" collapsed="false">
      <c r="A11" s="7" t="s">
        <v>249</v>
      </c>
      <c r="B11" s="27" t="n">
        <f aca="false">SUMIFS(WorkPackages!$E$4:$E$39,WorkPackages!$C$4:$C$39,"ALL")</f>
        <v>1600</v>
      </c>
      <c r="C11" s="21" t="n">
        <f aca="false">SUMIFS(WorkPackages!$G$4:$G$39,WorkPackages!$C$4:$C$39,"ALL")</f>
        <v>3696000</v>
      </c>
      <c r="D11" s="14" t="n">
        <f aca="false">C11*Assumptions!$B$19</f>
        <v>739200</v>
      </c>
      <c r="E11" s="14" t="n">
        <f aca="false">C11+D11</f>
        <v>4435200</v>
      </c>
      <c r="F11" s="5" t="s">
        <v>301</v>
      </c>
    </row>
    <row r="12" customFormat="false" ht="15" hidden="false" customHeight="false" outlineLevel="0" collapsed="false">
      <c r="A12" s="23" t="s">
        <v>302</v>
      </c>
      <c r="B12" s="25" t="n">
        <f aca="false">SUM(B5:B11)</f>
        <v>11180</v>
      </c>
      <c r="C12" s="26" t="n">
        <f aca="false">SUM(C5:C11)</f>
        <v>27604000</v>
      </c>
      <c r="D12" s="26" t="n">
        <f aca="false">SUM(D5:D11)</f>
        <v>5520800</v>
      </c>
      <c r="E12" s="26" t="n">
        <f aca="false">SUM(E5:E11)</f>
        <v>33124800</v>
      </c>
      <c r="F12" s="24"/>
    </row>
    <row r="14" customFormat="false" ht="15" hidden="false" customHeight="false" outlineLevel="0" collapsed="false">
      <c r="A14" s="28" t="s">
        <v>303</v>
      </c>
    </row>
    <row r="15" customFormat="false" ht="15" hidden="false" customHeight="false" outlineLevel="0" collapsed="false">
      <c r="A15" s="7" t="s">
        <v>304</v>
      </c>
      <c r="B15" s="29" t="n">
        <f aca="false">IF(SUM(B5:B10)=0,0,(B5+B6)/SUM(B5:B10))</f>
        <v>0.630480167014614</v>
      </c>
    </row>
    <row r="16" customFormat="false" ht="26.85" hidden="false" customHeight="false" outlineLevel="0" collapsed="false">
      <c r="A16" s="6" t="s">
        <v>305</v>
      </c>
      <c r="B16" s="6" t="s">
        <v>166</v>
      </c>
      <c r="C16" s="6" t="s">
        <v>292</v>
      </c>
      <c r="D16" s="6" t="s">
        <v>293</v>
      </c>
      <c r="E16" s="6" t="s">
        <v>294</v>
      </c>
      <c r="F16" s="6" t="s">
        <v>129</v>
      </c>
    </row>
    <row r="17" customFormat="false" ht="15" hidden="false" customHeight="false" outlineLevel="0" collapsed="false">
      <c r="A17" s="7" t="s">
        <v>306</v>
      </c>
      <c r="B17" s="30" t="n">
        <f aca="false">B5+B6</f>
        <v>6040</v>
      </c>
      <c r="C17" s="14" t="n">
        <f aca="false">C5+C6</f>
        <v>15220000</v>
      </c>
      <c r="D17" s="14" t="n">
        <f aca="false">D5+D6</f>
        <v>3044000</v>
      </c>
      <c r="E17" s="14" t="n">
        <f aca="false">E5+E6</f>
        <v>18264000</v>
      </c>
      <c r="F17" s="5" t="s">
        <v>307</v>
      </c>
    </row>
    <row r="18" customFormat="false" ht="15" hidden="false" customHeight="false" outlineLevel="0" collapsed="false">
      <c r="A18" s="7" t="s">
        <v>308</v>
      </c>
      <c r="B18" s="30" t="n">
        <f aca="false">B11*$B$15</f>
        <v>1008.76826722338</v>
      </c>
      <c r="C18" s="14" t="n">
        <f aca="false">C11*$B$15</f>
        <v>2330254.69728601</v>
      </c>
      <c r="D18" s="14" t="n">
        <f aca="false">D11*$B$15</f>
        <v>466050.939457202</v>
      </c>
      <c r="E18" s="14" t="n">
        <f aca="false">E11*$B$15</f>
        <v>2796305.63674322</v>
      </c>
      <c r="F18" s="5" t="s">
        <v>309</v>
      </c>
    </row>
    <row r="19" customFormat="false" ht="15" hidden="false" customHeight="false" outlineLevel="0" collapsed="false">
      <c r="A19" s="23" t="s">
        <v>310</v>
      </c>
      <c r="B19" s="31" t="n">
        <f aca="false">B17+B18</f>
        <v>7048.76826722338</v>
      </c>
      <c r="C19" s="26" t="n">
        <f aca="false">C17+C18</f>
        <v>17550254.697286</v>
      </c>
      <c r="D19" s="26" t="n">
        <f aca="false">D17+D18</f>
        <v>3510050.9394572</v>
      </c>
      <c r="E19" s="26" t="n">
        <f aca="false">E17+E18</f>
        <v>21060305.6367432</v>
      </c>
      <c r="F19" s="24"/>
    </row>
    <row r="20" customFormat="false" ht="15" hidden="false" customHeight="false" outlineLevel="0" collapsed="false">
      <c r="A20" s="23" t="s">
        <v>311</v>
      </c>
      <c r="B20" s="31" t="n">
        <f aca="false">B12</f>
        <v>11180</v>
      </c>
      <c r="C20" s="26" t="n">
        <f aca="false">C12</f>
        <v>27604000</v>
      </c>
      <c r="D20" s="26" t="n">
        <f aca="false">D12</f>
        <v>5520800</v>
      </c>
      <c r="E20" s="26" t="n">
        <f aca="false">E12</f>
        <v>33124800</v>
      </c>
      <c r="F20" s="24"/>
    </row>
    <row r="21" customFormat="false" ht="15" hidden="false" customHeight="false" outlineLevel="0" collapsed="false">
      <c r="A21" s="7" t="s">
        <v>312</v>
      </c>
      <c r="C21" s="29" t="n">
        <f aca="false">IF(C20=0,0,C19/C20)</f>
        <v>0.635786650387118</v>
      </c>
    </row>
    <row r="23" customFormat="false" ht="15" hidden="false" customHeight="false" outlineLevel="0" collapsed="false">
      <c r="A23" s="28" t="s">
        <v>313</v>
      </c>
    </row>
    <row r="24" customFormat="false" ht="26.85" hidden="false" customHeight="false" outlineLevel="0" collapsed="false">
      <c r="A24" s="6" t="s">
        <v>169</v>
      </c>
      <c r="B24" s="6" t="s">
        <v>166</v>
      </c>
      <c r="C24" s="6" t="s">
        <v>292</v>
      </c>
      <c r="D24" s="6" t="s">
        <v>293</v>
      </c>
      <c r="E24" s="6" t="s">
        <v>294</v>
      </c>
      <c r="F24" s="6" t="s">
        <v>314</v>
      </c>
    </row>
    <row r="25" customFormat="false" ht="15" hidden="false" customHeight="false" outlineLevel="0" collapsed="false">
      <c r="A25" s="7" t="s">
        <v>175</v>
      </c>
      <c r="B25" s="27" t="n">
        <f aca="false">SUMIFS(WorkPackages!$E$4:$E$39,WorkPackages!$H$4:$H$39,"Discovery")</f>
        <v>160</v>
      </c>
      <c r="C25" s="21" t="n">
        <f aca="false">SUMIFS(WorkPackages!$G$4:$G$39,WorkPackages!$H$4:$H$39,"Discovery")</f>
        <v>560000</v>
      </c>
      <c r="D25" s="14" t="n">
        <f aca="false">C25*Assumptions!$B$19</f>
        <v>112000</v>
      </c>
      <c r="E25" s="14" t="n">
        <f aca="false">C25+D25</f>
        <v>672000</v>
      </c>
      <c r="F25" s="29" t="n">
        <f aca="false">IF($C$12=0,0,C25/$C$12)</f>
        <v>0.0202869149398638</v>
      </c>
    </row>
    <row r="26" customFormat="false" ht="15" hidden="false" customHeight="false" outlineLevel="0" collapsed="false">
      <c r="A26" s="7" t="s">
        <v>179</v>
      </c>
      <c r="B26" s="27" t="n">
        <f aca="false">SUMIFS(WorkPackages!$E$4:$E$39,WorkPackages!$H$4:$H$39,"Design")</f>
        <v>240</v>
      </c>
      <c r="C26" s="21" t="n">
        <f aca="false">SUMIFS(WorkPackages!$G$4:$G$39,WorkPackages!$H$4:$H$39,"Design")</f>
        <v>480000</v>
      </c>
      <c r="D26" s="14" t="n">
        <f aca="false">C26*Assumptions!$B$19</f>
        <v>96000</v>
      </c>
      <c r="E26" s="14" t="n">
        <f aca="false">C26+D26</f>
        <v>576000</v>
      </c>
      <c r="F26" s="29" t="n">
        <f aca="false">IF($C$12=0,0,C26/$C$12)</f>
        <v>0.017388784234169</v>
      </c>
    </row>
    <row r="27" customFormat="false" ht="15" hidden="false" customHeight="false" outlineLevel="0" collapsed="false">
      <c r="A27" s="7" t="s">
        <v>22</v>
      </c>
      <c r="B27" s="27" t="n">
        <f aca="false">SUMIFS(WorkPackages!$E$4:$E$39,WorkPackages!$H$4:$H$39,"Backend")</f>
        <v>2700</v>
      </c>
      <c r="C27" s="21" t="n">
        <f aca="false">SUMIFS(WorkPackages!$G$4:$G$39,WorkPackages!$H$4:$H$39,"Backend")</f>
        <v>6732000</v>
      </c>
      <c r="D27" s="14" t="n">
        <f aca="false">C27*Assumptions!$B$19</f>
        <v>1346400</v>
      </c>
      <c r="E27" s="14" t="n">
        <f aca="false">C27+D27</f>
        <v>8078400</v>
      </c>
      <c r="F27" s="29" t="n">
        <f aca="false">IF($C$12=0,0,C27/$C$12)</f>
        <v>0.24387769888422</v>
      </c>
    </row>
    <row r="28" customFormat="false" ht="15" hidden="false" customHeight="false" outlineLevel="0" collapsed="false">
      <c r="A28" s="7" t="s">
        <v>23</v>
      </c>
      <c r="B28" s="27" t="n">
        <f aca="false">SUMIFS(WorkPackages!$E$4:$E$39,WorkPackages!$H$4:$H$39,"Frontend")</f>
        <v>1260</v>
      </c>
      <c r="C28" s="21" t="n">
        <f aca="false">SUMIFS(WorkPackages!$G$4:$G$39,WorkPackages!$H$4:$H$39,"Frontend")</f>
        <v>2844000</v>
      </c>
      <c r="D28" s="14" t="n">
        <f aca="false">C28*Assumptions!$B$19</f>
        <v>568800</v>
      </c>
      <c r="E28" s="14" t="n">
        <f aca="false">C28+D28</f>
        <v>3412800</v>
      </c>
      <c r="F28" s="29" t="n">
        <f aca="false">IF($C$12=0,0,C28/$C$12)</f>
        <v>0.103028546587451</v>
      </c>
    </row>
    <row r="29" customFormat="false" ht="15" hidden="false" customHeight="false" outlineLevel="0" collapsed="false">
      <c r="A29" s="7" t="s">
        <v>194</v>
      </c>
      <c r="B29" s="27" t="n">
        <f aca="false">SUMIFS(WorkPackages!$E$4:$E$39,WorkPackages!$H$4:$H$39,"Financial engine")</f>
        <v>1700</v>
      </c>
      <c r="C29" s="21" t="n">
        <f aca="false">SUMIFS(WorkPackages!$G$4:$G$39,WorkPackages!$H$4:$H$39,"Financial engine")</f>
        <v>4376000</v>
      </c>
      <c r="D29" s="14" t="n">
        <f aca="false">C29*Assumptions!$B$19</f>
        <v>875200</v>
      </c>
      <c r="E29" s="14" t="n">
        <f aca="false">C29+D29</f>
        <v>5251200</v>
      </c>
      <c r="F29" s="29" t="n">
        <f aca="false">IF($C$12=0,0,C29/$C$12)</f>
        <v>0.158527749601507</v>
      </c>
    </row>
    <row r="30" customFormat="false" ht="15" hidden="false" customHeight="false" outlineLevel="0" collapsed="false">
      <c r="A30" s="7" t="s">
        <v>186</v>
      </c>
      <c r="B30" s="27" t="n">
        <f aca="false">SUMIFS(WorkPackages!$E$4:$E$39,WorkPackages!$H$4:$H$39,"Connector core")</f>
        <v>1580</v>
      </c>
      <c r="C30" s="21" t="n">
        <f aca="false">SUMIFS(WorkPackages!$G$4:$G$39,WorkPackages!$H$4:$H$39,"Connector core")</f>
        <v>4108000</v>
      </c>
      <c r="D30" s="14" t="n">
        <f aca="false">C30*Assumptions!$B$19</f>
        <v>821600</v>
      </c>
      <c r="E30" s="14" t="n">
        <f aca="false">C30+D30</f>
        <v>4929600</v>
      </c>
      <c r="F30" s="29" t="n">
        <f aca="false">IF($C$12=0,0,C30/$C$12)</f>
        <v>0.148819011737429</v>
      </c>
    </row>
    <row r="31" customFormat="false" ht="15" hidden="false" customHeight="false" outlineLevel="0" collapsed="false">
      <c r="A31" s="7" t="s">
        <v>235</v>
      </c>
      <c r="B31" s="27" t="n">
        <f aca="false">SUMIFS(WorkPackages!$E$4:$E$39,WorkPackages!$H$4:$H$39,"Connector extended")</f>
        <v>1120</v>
      </c>
      <c r="C31" s="21" t="n">
        <f aca="false">SUMIFS(WorkPackages!$G$4:$G$39,WorkPackages!$H$4:$H$39,"Connector extended")</f>
        <v>2840000</v>
      </c>
      <c r="D31" s="14" t="n">
        <f aca="false">C31*Assumptions!$B$19</f>
        <v>568000</v>
      </c>
      <c r="E31" s="14" t="n">
        <f aca="false">C31+D31</f>
        <v>3408000</v>
      </c>
      <c r="F31" s="29" t="n">
        <f aca="false">IF($C$12=0,0,C31/$C$12)</f>
        <v>0.102883640052166</v>
      </c>
    </row>
    <row r="32" customFormat="false" ht="15" hidden="false" customHeight="false" outlineLevel="0" collapsed="false">
      <c r="A32" s="7" t="s">
        <v>225</v>
      </c>
      <c r="B32" s="27" t="n">
        <f aca="false">SUMIFS(WorkPackages!$E$4:$E$39,WorkPackages!$H$4:$H$39,"Automation")</f>
        <v>820</v>
      </c>
      <c r="C32" s="21" t="n">
        <f aca="false">SUMIFS(WorkPackages!$G$4:$G$39,WorkPackages!$H$4:$H$39,"Automation")</f>
        <v>1968000</v>
      </c>
      <c r="D32" s="14" t="n">
        <f aca="false">C32*Assumptions!$B$19</f>
        <v>393600</v>
      </c>
      <c r="E32" s="14" t="n">
        <f aca="false">C32+D32</f>
        <v>2361600</v>
      </c>
      <c r="F32" s="29" t="n">
        <f aca="false">IF($C$12=0,0,C32/$C$12)</f>
        <v>0.0712940153600927</v>
      </c>
    </row>
    <row r="33" customFormat="false" ht="15" hidden="false" customHeight="false" outlineLevel="0" collapsed="false">
      <c r="A33" s="7" t="s">
        <v>250</v>
      </c>
      <c r="B33" s="27" t="n">
        <f aca="false">SUMIFS(WorkPackages!$E$4:$E$39,WorkPackages!$H$4:$H$39,"QA-security")</f>
        <v>640</v>
      </c>
      <c r="C33" s="21" t="n">
        <f aca="false">SUMIFS(WorkPackages!$G$4:$G$39,WorkPackages!$H$4:$H$39,"QA-security")</f>
        <v>1152000</v>
      </c>
      <c r="D33" s="14" t="n">
        <f aca="false">C33*Assumptions!$B$19</f>
        <v>230400</v>
      </c>
      <c r="E33" s="14" t="n">
        <f aca="false">C33+D33</f>
        <v>1382400</v>
      </c>
      <c r="F33" s="29" t="n">
        <f aca="false">IF($C$12=0,0,C33/$C$12)</f>
        <v>0.0417330821620055</v>
      </c>
    </row>
    <row r="34" customFormat="false" ht="15" hidden="false" customHeight="false" outlineLevel="0" collapsed="false">
      <c r="A34" s="7" t="s">
        <v>30</v>
      </c>
      <c r="B34" s="27" t="n">
        <f aca="false">SUMIFS(WorkPackages!$E$4:$E$39,WorkPackages!$H$4:$H$39,"DevOps")</f>
        <v>320</v>
      </c>
      <c r="C34" s="21" t="n">
        <f aca="false">SUMIFS(WorkPackages!$G$4:$G$39,WorkPackages!$H$4:$H$39,"DevOps")</f>
        <v>768000</v>
      </c>
      <c r="D34" s="14" t="n">
        <f aca="false">C34*Assumptions!$B$19</f>
        <v>153600</v>
      </c>
      <c r="E34" s="14" t="n">
        <f aca="false">C34+D34</f>
        <v>921600</v>
      </c>
      <c r="F34" s="29" t="n">
        <f aca="false">IF($C$12=0,0,C34/$C$12)</f>
        <v>0.0278220547746703</v>
      </c>
    </row>
    <row r="35" customFormat="false" ht="15" hidden="false" customHeight="false" outlineLevel="0" collapsed="false">
      <c r="A35" s="7" t="s">
        <v>137</v>
      </c>
      <c r="B35" s="27" t="n">
        <f aca="false">SUMIFS(WorkPackages!$E$4:$E$39,WorkPackages!$H$4:$H$39,"Migration")</f>
        <v>240</v>
      </c>
      <c r="C35" s="21" t="n">
        <f aca="false">SUMIFS(WorkPackages!$G$4:$G$39,WorkPackages!$H$4:$H$39,"Migration")</f>
        <v>576000</v>
      </c>
      <c r="D35" s="14" t="n">
        <f aca="false">C35*Assumptions!$B$19</f>
        <v>115200</v>
      </c>
      <c r="E35" s="14" t="n">
        <f aca="false">C35+D35</f>
        <v>691200</v>
      </c>
      <c r="F35" s="29" t="n">
        <f aca="false">IF($C$12=0,0,C35/$C$12)</f>
        <v>0.0208665410810028</v>
      </c>
    </row>
    <row r="36" customFormat="false" ht="15" hidden="false" customHeight="false" outlineLevel="0" collapsed="false">
      <c r="A36" s="7" t="s">
        <v>315</v>
      </c>
      <c r="B36" s="27" t="n">
        <f aca="false">SUMIFS(WorkPackages!$E$4:$E$39,WorkPackages!$H$4:$H$39,"Training")</f>
        <v>0</v>
      </c>
      <c r="C36" s="21" t="n">
        <f aca="false">SUMIFS(WorkPackages!$G$4:$G$39,WorkPackages!$H$4:$H$39,"Training")</f>
        <v>0</v>
      </c>
      <c r="D36" s="14" t="n">
        <f aca="false">C36*Assumptions!$B$19</f>
        <v>0</v>
      </c>
      <c r="E36" s="14" t="n">
        <f aca="false">C36+D36</f>
        <v>0</v>
      </c>
      <c r="F36" s="29" t="n">
        <f aca="false">IF($C$12=0,0,C36/$C$12)</f>
        <v>0</v>
      </c>
    </row>
    <row r="37" customFormat="false" ht="15" hidden="false" customHeight="false" outlineLevel="0" collapsed="false">
      <c r="A37" s="7" t="s">
        <v>259</v>
      </c>
      <c r="B37" s="27" t="n">
        <f aca="false">SUMIFS(WorkPackages!$E$4:$E$39,WorkPackages!$H$4:$H$39,"Leadership")</f>
        <v>400</v>
      </c>
      <c r="C37" s="21" t="n">
        <f aca="false">SUMIFS(WorkPackages!$G$4:$G$39,WorkPackages!$H$4:$H$39,"Leadership")</f>
        <v>1200000</v>
      </c>
      <c r="D37" s="14" t="n">
        <f aca="false">C37*Assumptions!$B$19</f>
        <v>240000</v>
      </c>
      <c r="E37" s="14" t="n">
        <f aca="false">C37+D37</f>
        <v>1440000</v>
      </c>
      <c r="F37" s="29" t="n">
        <f aca="false">IF($C$12=0,0,C37/$C$12)</f>
        <v>0.0434719605854224</v>
      </c>
    </row>
    <row r="38" customFormat="false" ht="15" hidden="false" customHeight="false" outlineLevel="0" collapsed="false">
      <c r="A38" s="23" t="s">
        <v>316</v>
      </c>
      <c r="B38" s="25" t="n">
        <f aca="false">SUM(B25:B37)</f>
        <v>11180</v>
      </c>
      <c r="C38" s="26" t="n">
        <f aca="false">SUM(C25:C37)</f>
        <v>27604000</v>
      </c>
      <c r="D38" s="26" t="n">
        <f aca="false">SUM(D25:D37)</f>
        <v>5520800</v>
      </c>
      <c r="E38" s="26" t="n">
        <f aca="false">SUM(E25:E37)</f>
        <v>33124800</v>
      </c>
      <c r="F38" s="23" t="str">
        <f aca="false">IF(ABS(C38-C12)&lt;1,"OK — reconciles","CHECK")</f>
        <v>OK — reconciles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1"/>
    <col collapsed="false" customWidth="true" hidden="false" outlineLevel="0" max="9" min="9" style="0" width="3"/>
    <col collapsed="false" customWidth="true" hidden="false" outlineLevel="0" max="16" min="10" style="0" width="10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5" t="s">
        <v>318</v>
      </c>
    </row>
    <row r="4" customFormat="false" ht="15" hidden="false" customHeight="false" outlineLevel="0" collapsed="false">
      <c r="A4" s="7" t="s">
        <v>319</v>
      </c>
      <c r="B4" s="27" t="n">
        <f aca="false">Assumptions!$B$20*Assumptions!$B$21</f>
        <v>120</v>
      </c>
    </row>
    <row r="6" customFormat="false" ht="26.85" hidden="false" customHeight="false" outlineLevel="0" collapsed="false">
      <c r="A6" s="6" t="s">
        <v>320</v>
      </c>
      <c r="B6" s="6" t="s">
        <v>174</v>
      </c>
      <c r="C6" s="6" t="s">
        <v>193</v>
      </c>
      <c r="D6" s="6" t="s">
        <v>214</v>
      </c>
      <c r="E6" s="6" t="s">
        <v>218</v>
      </c>
      <c r="F6" s="6" t="s">
        <v>231</v>
      </c>
      <c r="G6" s="6" t="s">
        <v>239</v>
      </c>
      <c r="H6" s="6" t="s">
        <v>249</v>
      </c>
      <c r="I6" s="6" t="s">
        <v>321</v>
      </c>
      <c r="J6" s="6" t="s">
        <v>322</v>
      </c>
      <c r="K6" s="6" t="s">
        <v>323</v>
      </c>
      <c r="L6" s="6" t="s">
        <v>324</v>
      </c>
      <c r="M6" s="6" t="s">
        <v>325</v>
      </c>
      <c r="N6" s="6" t="s">
        <v>326</v>
      </c>
      <c r="O6" s="6" t="s">
        <v>327</v>
      </c>
      <c r="P6" s="6" t="s">
        <v>328</v>
      </c>
    </row>
    <row r="7" customFormat="false" ht="15" hidden="false" customHeight="false" outlineLevel="0" collapsed="false">
      <c r="A7" s="7" t="s">
        <v>329</v>
      </c>
      <c r="B7" s="27" t="n">
        <f aca="false">Assumptions!$B$26</f>
        <v>8</v>
      </c>
      <c r="C7" s="27" t="n">
        <f aca="false">Assumptions!$B$27</f>
        <v>14</v>
      </c>
      <c r="D7" s="27" t="n">
        <f aca="false">Assumptions!$B$28</f>
        <v>14</v>
      </c>
      <c r="E7" s="27" t="n">
        <f aca="false">Assumptions!$B$29</f>
        <v>10</v>
      </c>
      <c r="F7" s="27" t="n">
        <f aca="false">Assumptions!$B$30</f>
        <v>6</v>
      </c>
      <c r="G7" s="27" t="n">
        <f aca="false">Assumptions!$B$31</f>
        <v>10</v>
      </c>
      <c r="H7" s="27" t="n">
        <f aca="false">Assumptions!$B$32</f>
        <v>62</v>
      </c>
    </row>
    <row r="8" customFormat="false" ht="15" hidden="false" customHeight="false" outlineLevel="0" collapsed="false">
      <c r="A8" s="7" t="s">
        <v>330</v>
      </c>
      <c r="B8" s="32" t="n">
        <f aca="false">B7*12/52</f>
        <v>1.84615384615385</v>
      </c>
      <c r="C8" s="32" t="n">
        <f aca="false">C7*12/52</f>
        <v>3.23076923076923</v>
      </c>
      <c r="D8" s="32" t="n">
        <f aca="false">D7*12/52</f>
        <v>3.23076923076923</v>
      </c>
      <c r="E8" s="32" t="n">
        <f aca="false">E7*12/52</f>
        <v>2.30769230769231</v>
      </c>
      <c r="F8" s="32" t="n">
        <f aca="false">F7*12/52</f>
        <v>1.38461538461538</v>
      </c>
      <c r="G8" s="32" t="n">
        <f aca="false">G7*12/52</f>
        <v>2.30769230769231</v>
      </c>
      <c r="H8" s="32" t="n">
        <f aca="false">H7*12/52</f>
        <v>14.3076923076923</v>
      </c>
    </row>
    <row r="9" customFormat="false" ht="15" hidden="false" customHeight="false" outlineLevel="0" collapsed="false">
      <c r="A9" s="7" t="s">
        <v>18</v>
      </c>
      <c r="B9" s="33" t="n">
        <f aca="false">IF(B$8=0,0,SUMIFS(WorkPackages!$E$4:$E$39,WorkPackages!$D$4:$D$39,$A9,WorkPackages!$C$4:$C$39,"R0")/$B$4/B$8)</f>
        <v>0.722222222222222</v>
      </c>
      <c r="C9" s="33" t="n">
        <f aca="false">IF(C$8=0,0,SUMIFS(WorkPackages!$E$4:$E$39,WorkPackages!$D$4:$D$39,$A9,WorkPackages!$C$4:$C$39,"R1")/$B$4/C$8)</f>
        <v>0</v>
      </c>
      <c r="D9" s="33" t="n">
        <f aca="false">IF(D$8=0,0,SUMIFS(WorkPackages!$E$4:$E$39,WorkPackages!$D$4:$D$39,$A9,WorkPackages!$C$4:$C$39,"R2")/$B$4/D$8)</f>
        <v>0</v>
      </c>
      <c r="E9" s="33" t="n">
        <f aca="false">IF(E$8=0,0,SUMIFS(WorkPackages!$E$4:$E$39,WorkPackages!$D$4:$D$39,$A9,WorkPackages!$C$4:$C$39,"R3")/$B$4/E$8)</f>
        <v>0</v>
      </c>
      <c r="F9" s="33" t="n">
        <f aca="false">IF(F$8=0,0,SUMIFS(WorkPackages!$E$4:$E$39,WorkPackages!$D$4:$D$39,$A9,WorkPackages!$C$4:$C$39,"R4")/$B$4/F$8)</f>
        <v>0</v>
      </c>
      <c r="G9" s="33" t="n">
        <f aca="false">IF(G$8=0,0,SUMIFS(WorkPackages!$E$4:$E$39,WorkPackages!$D$4:$D$39,$A9,WorkPackages!$C$4:$C$39,"R5")/$B$4/G$8)</f>
        <v>0</v>
      </c>
      <c r="H9" s="33" t="n">
        <f aca="false">IF(H$8=0,0,SUMIFS(WorkPackages!$E$4:$E$39,WorkPackages!$D$4:$D$39,$A9,WorkPackages!$C$4:$C$39,"ALL")/$B$4/H$8)</f>
        <v>0</v>
      </c>
      <c r="J9" s="18" t="str">
        <f aca="false">IF(B9&gt;1,"&gt;1 FTE","")</f>
        <v/>
      </c>
      <c r="K9" s="18" t="str">
        <f aca="false">IF(C9&gt;1,"&gt;1 FTE","")</f>
        <v/>
      </c>
      <c r="L9" s="18" t="str">
        <f aca="false">IF(D9&gt;1,"&gt;1 FTE","")</f>
        <v/>
      </c>
      <c r="M9" s="18" t="str">
        <f aca="false">IF(E9&gt;1,"&gt;1 FTE","")</f>
        <v/>
      </c>
      <c r="N9" s="18" t="str">
        <f aca="false">IF(F9&gt;1,"&gt;1 FTE","")</f>
        <v/>
      </c>
      <c r="O9" s="18" t="str">
        <f aca="false">IF(G9&gt;1,"&gt;1 FTE","")</f>
        <v/>
      </c>
      <c r="P9" s="18" t="str">
        <f aca="false">IF(H9&gt;1,"&gt;1 FTE","")</f>
        <v/>
      </c>
    </row>
    <row r="10" customFormat="false" ht="15" hidden="false" customHeight="false" outlineLevel="0" collapsed="false">
      <c r="A10" s="7" t="s">
        <v>21</v>
      </c>
      <c r="B10" s="33" t="n">
        <f aca="false">IF(B$8=0,0,SUMIFS(WorkPackages!$E$4:$E$39,WorkPackages!$D$4:$D$39,$A10,WorkPackages!$C$4:$C$39,"R0")/$B$4/B$8)</f>
        <v>1.89583333333333</v>
      </c>
      <c r="C10" s="33" t="n">
        <f aca="false">IF(C$8=0,0,SUMIFS(WorkPackages!$E$4:$E$39,WorkPackages!$D$4:$D$39,$A10,WorkPackages!$C$4:$C$39,"R1")/$B$4/C$8)</f>
        <v>0</v>
      </c>
      <c r="D10" s="33" t="n">
        <f aca="false">IF(D$8=0,0,SUMIFS(WorkPackages!$E$4:$E$39,WorkPackages!$D$4:$D$39,$A10,WorkPackages!$C$4:$C$39,"R2")/$B$4/D$8)</f>
        <v>0</v>
      </c>
      <c r="E10" s="33" t="n">
        <f aca="false">IF(E$8=0,0,SUMIFS(WorkPackages!$E$4:$E$39,WorkPackages!$D$4:$D$39,$A10,WorkPackages!$C$4:$C$39,"R3")/$B$4/E$8)</f>
        <v>0</v>
      </c>
      <c r="F10" s="33" t="n">
        <f aca="false">IF(F$8=0,0,SUMIFS(WorkPackages!$E$4:$E$39,WorkPackages!$D$4:$D$39,$A10,WorkPackages!$C$4:$C$39,"R4")/$B$4/F$8)</f>
        <v>0</v>
      </c>
      <c r="G10" s="33" t="n">
        <f aca="false">IF(G$8=0,0,SUMIFS(WorkPackages!$E$4:$E$39,WorkPackages!$D$4:$D$39,$A10,WorkPackages!$C$4:$C$39,"R5")/$B$4/G$8)</f>
        <v>0</v>
      </c>
      <c r="H10" s="33" t="n">
        <f aca="false">IF(H$8=0,0,SUMIFS(WorkPackages!$E$4:$E$39,WorkPackages!$D$4:$D$39,$A10,WorkPackages!$C$4:$C$39,"ALL")/$B$4/H$8)</f>
        <v>0</v>
      </c>
      <c r="J10" s="18" t="str">
        <f aca="false">IF(B10&gt;1,"&gt;1 FTE","")</f>
        <v>&gt;1 FTE</v>
      </c>
      <c r="K10" s="18" t="str">
        <f aca="false">IF(C10&gt;1,"&gt;1 FTE","")</f>
        <v/>
      </c>
      <c r="L10" s="18" t="str">
        <f aca="false">IF(D10&gt;1,"&gt;1 FTE","")</f>
        <v/>
      </c>
      <c r="M10" s="18" t="str">
        <f aca="false">IF(E10&gt;1,"&gt;1 FTE","")</f>
        <v/>
      </c>
      <c r="N10" s="18" t="str">
        <f aca="false">IF(F10&gt;1,"&gt;1 FTE","")</f>
        <v/>
      </c>
      <c r="O10" s="18" t="str">
        <f aca="false">IF(G10&gt;1,"&gt;1 FTE","")</f>
        <v/>
      </c>
      <c r="P10" s="18" t="str">
        <f aca="false">IF(H10&gt;1,"&gt;1 FTE","")</f>
        <v/>
      </c>
    </row>
    <row r="11" customFormat="false" ht="15" hidden="false" customHeight="false" outlineLevel="0" collapsed="false">
      <c r="A11" s="7" t="s">
        <v>22</v>
      </c>
      <c r="B11" s="33" t="n">
        <f aca="false">IF(B$8=0,0,SUMIFS(WorkPackages!$E$4:$E$39,WorkPackages!$D$4:$D$39,$A11,WorkPackages!$C$4:$C$39,"R0")/$B$4/B$8)</f>
        <v>2.4375</v>
      </c>
      <c r="C11" s="33" t="n">
        <f aca="false">IF(C$8=0,0,SUMIFS(WorkPackages!$E$4:$E$39,WorkPackages!$D$4:$D$39,$A11,WorkPackages!$C$4:$C$39,"R1")/$B$4/C$8)</f>
        <v>0.670634920634921</v>
      </c>
      <c r="D11" s="33" t="n">
        <f aca="false">IF(D$8=0,0,SUMIFS(WorkPackages!$E$4:$E$39,WorkPackages!$D$4:$D$39,$A11,WorkPackages!$C$4:$C$39,"R2")/$B$4/D$8)</f>
        <v>0</v>
      </c>
      <c r="E11" s="33" t="n">
        <f aca="false">IF(E$8=0,0,SUMIFS(WorkPackages!$E$4:$E$39,WorkPackages!$D$4:$D$39,$A11,WorkPackages!$C$4:$C$39,"R3")/$B$4/E$8)</f>
        <v>1.87777777777778</v>
      </c>
      <c r="F11" s="33" t="n">
        <f aca="false">IF(F$8=0,0,SUMIFS(WorkPackages!$E$4:$E$39,WorkPackages!$D$4:$D$39,$A11,WorkPackages!$C$4:$C$39,"R4")/$B$4/F$8)</f>
        <v>0</v>
      </c>
      <c r="G11" s="33" t="n">
        <f aca="false">IF(G$8=0,0,SUMIFS(WorkPackages!$E$4:$E$39,WorkPackages!$D$4:$D$39,$A11,WorkPackages!$C$4:$C$39,"R5")/$B$4/G$8)</f>
        <v>0.577777777777778</v>
      </c>
      <c r="H11" s="33" t="n">
        <f aca="false">IF(H$8=0,0,SUMIFS(WorkPackages!$E$4:$E$39,WorkPackages!$D$4:$D$39,$A11,WorkPackages!$C$4:$C$39,"ALL")/$B$4/H$8)</f>
        <v>0</v>
      </c>
      <c r="J11" s="18" t="str">
        <f aca="false">IF(B11&gt;1,"&gt;1 FTE","")</f>
        <v>&gt;1 FTE</v>
      </c>
      <c r="K11" s="18" t="str">
        <f aca="false">IF(C11&gt;1,"&gt;1 FTE","")</f>
        <v/>
      </c>
      <c r="L11" s="18" t="str">
        <f aca="false">IF(D11&gt;1,"&gt;1 FTE","")</f>
        <v/>
      </c>
      <c r="M11" s="18" t="str">
        <f aca="false">IF(E11&gt;1,"&gt;1 FTE","")</f>
        <v>&gt;1 FTE</v>
      </c>
      <c r="N11" s="18" t="str">
        <f aca="false">IF(F11&gt;1,"&gt;1 FTE","")</f>
        <v/>
      </c>
      <c r="O11" s="18" t="str">
        <f aca="false">IF(G11&gt;1,"&gt;1 FTE","")</f>
        <v/>
      </c>
      <c r="P11" s="18" t="str">
        <f aca="false">IF(H11&gt;1,"&gt;1 FTE","")</f>
        <v/>
      </c>
    </row>
    <row r="12" customFormat="false" ht="15" hidden="false" customHeight="false" outlineLevel="0" collapsed="false">
      <c r="A12" s="7" t="s">
        <v>23</v>
      </c>
      <c r="B12" s="33" t="n">
        <f aca="false">IF(B$8=0,0,SUMIFS(WorkPackages!$E$4:$E$39,WorkPackages!$D$4:$D$39,$A12,WorkPackages!$C$4:$C$39,"R0")/$B$4/B$8)</f>
        <v>0</v>
      </c>
      <c r="C12" s="33" t="n">
        <f aca="false">IF(C$8=0,0,SUMIFS(WorkPackages!$E$4:$E$39,WorkPackages!$D$4:$D$39,$A12,WorkPackages!$C$4:$C$39,"R1")/$B$4/C$8)</f>
        <v>1.75396825396825</v>
      </c>
      <c r="D12" s="33" t="n">
        <f aca="false">IF(D$8=0,0,SUMIFS(WorkPackages!$E$4:$E$39,WorkPackages!$D$4:$D$39,$A12,WorkPackages!$C$4:$C$39,"R2")/$B$4/D$8)</f>
        <v>0</v>
      </c>
      <c r="E12" s="33" t="n">
        <f aca="false">IF(E$8=0,0,SUMIFS(WorkPackages!$E$4:$E$39,WorkPackages!$D$4:$D$39,$A12,WorkPackages!$C$4:$C$39,"R3")/$B$4/E$8)</f>
        <v>0</v>
      </c>
      <c r="F12" s="33" t="n">
        <f aca="false">IF(F$8=0,0,SUMIFS(WorkPackages!$E$4:$E$39,WorkPackages!$D$4:$D$39,$A12,WorkPackages!$C$4:$C$39,"R4")/$B$4/F$8)</f>
        <v>0</v>
      </c>
      <c r="G12" s="33" t="n">
        <f aca="false">IF(G$8=0,0,SUMIFS(WorkPackages!$E$4:$E$39,WorkPackages!$D$4:$D$39,$A12,WorkPackages!$C$4:$C$39,"R5")/$B$4/G$8)</f>
        <v>0.794444444444445</v>
      </c>
      <c r="H12" s="33" t="n">
        <f aca="false">IF(H$8=0,0,SUMIFS(WorkPackages!$E$4:$E$39,WorkPackages!$D$4:$D$39,$A12,WorkPackages!$C$4:$C$39,"ALL")/$B$4/H$8)</f>
        <v>0</v>
      </c>
      <c r="J12" s="18" t="str">
        <f aca="false">IF(B12&gt;1,"&gt;1 FTE","")</f>
        <v/>
      </c>
      <c r="K12" s="18" t="str">
        <f aca="false">IF(C12&gt;1,"&gt;1 FTE","")</f>
        <v>&gt;1 FTE</v>
      </c>
      <c r="L12" s="18" t="str">
        <f aca="false">IF(D12&gt;1,"&gt;1 FTE","")</f>
        <v/>
      </c>
      <c r="M12" s="18" t="str">
        <f aca="false">IF(E12&gt;1,"&gt;1 FTE","")</f>
        <v/>
      </c>
      <c r="N12" s="18" t="str">
        <f aca="false">IF(F12&gt;1,"&gt;1 FTE","")</f>
        <v/>
      </c>
      <c r="O12" s="18" t="str">
        <f aca="false">IF(G12&gt;1,"&gt;1 FTE","")</f>
        <v/>
      </c>
      <c r="P12" s="18" t="str">
        <f aca="false">IF(H12&gt;1,"&gt;1 FTE","")</f>
        <v/>
      </c>
    </row>
    <row r="13" customFormat="false" ht="15" hidden="false" customHeight="false" outlineLevel="0" collapsed="false">
      <c r="A13" s="7" t="s">
        <v>24</v>
      </c>
      <c r="B13" s="33" t="n">
        <f aca="false">IF(B$8=0,0,SUMIFS(WorkPackages!$E$4:$E$39,WorkPackages!$D$4:$D$39,$A13,WorkPackages!$C$4:$C$39,"R0")/$B$4/B$8)</f>
        <v>0</v>
      </c>
      <c r="C13" s="33" t="n">
        <f aca="false">IF(C$8=0,0,SUMIFS(WorkPackages!$E$4:$E$39,WorkPackages!$D$4:$D$39,$A13,WorkPackages!$C$4:$C$39,"R1")/$B$4/C$8)</f>
        <v>2.83730158730159</v>
      </c>
      <c r="D13" s="33" t="n">
        <f aca="false">IF(D$8=0,0,SUMIFS(WorkPackages!$E$4:$E$39,WorkPackages!$D$4:$D$39,$A13,WorkPackages!$C$4:$C$39,"R2")/$B$4/D$8)</f>
        <v>0</v>
      </c>
      <c r="E13" s="33" t="n">
        <f aca="false">IF(E$8=0,0,SUMIFS(WorkPackages!$E$4:$E$39,WorkPackages!$D$4:$D$39,$A13,WorkPackages!$C$4:$C$39,"R3")/$B$4/E$8)</f>
        <v>2.67222222222222</v>
      </c>
      <c r="F13" s="33" t="n">
        <f aca="false">IF(F$8=0,0,SUMIFS(WorkPackages!$E$4:$E$39,WorkPackages!$D$4:$D$39,$A13,WorkPackages!$C$4:$C$39,"R4")/$B$4/F$8)</f>
        <v>1.80555555555556</v>
      </c>
      <c r="G13" s="33" t="n">
        <f aca="false">IF(G$8=0,0,SUMIFS(WorkPackages!$E$4:$E$39,WorkPackages!$D$4:$D$39,$A13,WorkPackages!$C$4:$C$39,"R5")/$B$4/G$8)</f>
        <v>0.722222222222222</v>
      </c>
      <c r="H13" s="33" t="n">
        <f aca="false">IF(H$8=0,0,SUMIFS(WorkPackages!$E$4:$E$39,WorkPackages!$D$4:$D$39,$A13,WorkPackages!$C$4:$C$39,"ALL")/$B$4/H$8)</f>
        <v>0</v>
      </c>
      <c r="J13" s="18" t="str">
        <f aca="false">IF(B13&gt;1,"&gt;1 FTE","")</f>
        <v/>
      </c>
      <c r="K13" s="18" t="str">
        <f aca="false">IF(C13&gt;1,"&gt;1 FTE","")</f>
        <v>&gt;1 FTE</v>
      </c>
      <c r="L13" s="18" t="str">
        <f aca="false">IF(D13&gt;1,"&gt;1 FTE","")</f>
        <v/>
      </c>
      <c r="M13" s="18" t="str">
        <f aca="false">IF(E13&gt;1,"&gt;1 FTE","")</f>
        <v>&gt;1 FTE</v>
      </c>
      <c r="N13" s="18" t="str">
        <f aca="false">IF(F13&gt;1,"&gt;1 FTE","")</f>
        <v>&gt;1 FTE</v>
      </c>
      <c r="O13" s="18" t="str">
        <f aca="false">IF(G13&gt;1,"&gt;1 FTE","")</f>
        <v/>
      </c>
      <c r="P13" s="18" t="str">
        <f aca="false">IF(H13&gt;1,"&gt;1 FTE","")</f>
        <v/>
      </c>
    </row>
    <row r="14" customFormat="false" ht="15" hidden="false" customHeight="false" outlineLevel="0" collapsed="false">
      <c r="A14" s="7" t="s">
        <v>25</v>
      </c>
      <c r="B14" s="33" t="n">
        <f aca="false">IF(B$8=0,0,SUMIFS(WorkPackages!$E$4:$E$39,WorkPackages!$D$4:$D$39,$A14,WorkPackages!$C$4:$C$39,"R0")/$B$4/B$8)</f>
        <v>2.16666666666667</v>
      </c>
      <c r="C14" s="33" t="n">
        <f aca="false">IF(C$8=0,0,SUMIFS(WorkPackages!$E$4:$E$39,WorkPackages!$D$4:$D$39,$A14,WorkPackages!$C$4:$C$39,"R1")/$B$4/C$8)</f>
        <v>2.21825396825397</v>
      </c>
      <c r="D14" s="33" t="n">
        <f aca="false">IF(D$8=0,0,SUMIFS(WorkPackages!$E$4:$E$39,WorkPackages!$D$4:$D$39,$A14,WorkPackages!$C$4:$C$39,"R2")/$B$4/D$8)</f>
        <v>2.16666666666667</v>
      </c>
      <c r="E14" s="33" t="n">
        <f aca="false">IF(E$8=0,0,SUMIFS(WorkPackages!$E$4:$E$39,WorkPackages!$D$4:$D$39,$A14,WorkPackages!$C$4:$C$39,"R3")/$B$4/E$8)</f>
        <v>0</v>
      </c>
      <c r="F14" s="33" t="n">
        <f aca="false">IF(F$8=0,0,SUMIFS(WorkPackages!$E$4:$E$39,WorkPackages!$D$4:$D$39,$A14,WorkPackages!$C$4:$C$39,"R4")/$B$4/F$8)</f>
        <v>0</v>
      </c>
      <c r="G14" s="33" t="n">
        <f aca="false">IF(G$8=0,0,SUMIFS(WorkPackages!$E$4:$E$39,WorkPackages!$D$4:$D$39,$A14,WorkPackages!$C$4:$C$39,"R5")/$B$4/G$8)</f>
        <v>0.577777777777778</v>
      </c>
      <c r="H14" s="33" t="n">
        <f aca="false">IF(H$8=0,0,SUMIFS(WorkPackages!$E$4:$E$39,WorkPackages!$D$4:$D$39,$A14,WorkPackages!$C$4:$C$39,"ALL")/$B$4/H$8)</f>
        <v>0</v>
      </c>
      <c r="J14" s="18" t="str">
        <f aca="false">IF(B14&gt;1,"&gt;1 FTE","")</f>
        <v>&gt;1 FTE</v>
      </c>
      <c r="K14" s="18" t="str">
        <f aca="false">IF(C14&gt;1,"&gt;1 FTE","")</f>
        <v>&gt;1 FTE</v>
      </c>
      <c r="L14" s="18" t="str">
        <f aca="false">IF(D14&gt;1,"&gt;1 FTE","")</f>
        <v>&gt;1 FTE</v>
      </c>
      <c r="M14" s="18" t="str">
        <f aca="false">IF(E14&gt;1,"&gt;1 FTE","")</f>
        <v/>
      </c>
      <c r="N14" s="18" t="str">
        <f aca="false">IF(F14&gt;1,"&gt;1 FTE","")</f>
        <v/>
      </c>
      <c r="O14" s="18" t="str">
        <f aca="false">IF(G14&gt;1,"&gt;1 FTE","")</f>
        <v/>
      </c>
      <c r="P14" s="18" t="str">
        <f aca="false">IF(H14&gt;1,"&gt;1 FTE","")</f>
        <v/>
      </c>
    </row>
    <row r="15" customFormat="false" ht="15" hidden="false" customHeight="false" outlineLevel="0" collapsed="false">
      <c r="A15" s="7" t="s">
        <v>26</v>
      </c>
      <c r="B15" s="33" t="n">
        <f aca="false">IF(B$8=0,0,SUMIFS(WorkPackages!$E$4:$E$39,WorkPackages!$D$4:$D$39,$A15,WorkPackages!$C$4:$C$39,"R0")/$B$4/B$8)</f>
        <v>0</v>
      </c>
      <c r="C15" s="33" t="n">
        <f aca="false">IF(C$8=0,0,SUMIFS(WorkPackages!$E$4:$E$39,WorkPackages!$D$4:$D$39,$A15,WorkPackages!$C$4:$C$39,"R1")/$B$4/C$8)</f>
        <v>3.3531746031746</v>
      </c>
      <c r="D15" s="33" t="n">
        <f aca="false">IF(D$8=0,0,SUMIFS(WorkPackages!$E$4:$E$39,WorkPackages!$D$4:$D$39,$A15,WorkPackages!$C$4:$C$39,"R2")/$B$4/D$8)</f>
        <v>0.464285714285714</v>
      </c>
      <c r="E15" s="33" t="n">
        <f aca="false">IF(E$8=0,0,SUMIFS(WorkPackages!$E$4:$E$39,WorkPackages!$D$4:$D$39,$A15,WorkPackages!$C$4:$C$39,"R3")/$B$4/E$8)</f>
        <v>0</v>
      </c>
      <c r="F15" s="33" t="n">
        <f aca="false">IF(F$8=0,0,SUMIFS(WorkPackages!$E$4:$E$39,WorkPackages!$D$4:$D$39,$A15,WorkPackages!$C$4:$C$39,"R4")/$B$4/F$8)</f>
        <v>0</v>
      </c>
      <c r="G15" s="33" t="n">
        <f aca="false">IF(G$8=0,0,SUMIFS(WorkPackages!$E$4:$E$39,WorkPackages!$D$4:$D$39,$A15,WorkPackages!$C$4:$C$39,"R5")/$B$4/G$8)</f>
        <v>0</v>
      </c>
      <c r="H15" s="33" t="n">
        <f aca="false">IF(H$8=0,0,SUMIFS(WorkPackages!$E$4:$E$39,WorkPackages!$D$4:$D$39,$A15,WorkPackages!$C$4:$C$39,"ALL")/$B$4/H$8)</f>
        <v>0</v>
      </c>
      <c r="J15" s="18" t="str">
        <f aca="false">IF(B15&gt;1,"&gt;1 FTE","")</f>
        <v/>
      </c>
      <c r="K15" s="18" t="str">
        <f aca="false">IF(C15&gt;1,"&gt;1 FTE","")</f>
        <v>&gt;1 FTE</v>
      </c>
      <c r="L15" s="18" t="str">
        <f aca="false">IF(D15&gt;1,"&gt;1 FTE","")</f>
        <v/>
      </c>
      <c r="M15" s="18" t="str">
        <f aca="false">IF(E15&gt;1,"&gt;1 FTE","")</f>
        <v/>
      </c>
      <c r="N15" s="18" t="str">
        <f aca="false">IF(F15&gt;1,"&gt;1 FTE","")</f>
        <v/>
      </c>
      <c r="O15" s="18" t="str">
        <f aca="false">IF(G15&gt;1,"&gt;1 FTE","")</f>
        <v/>
      </c>
      <c r="P15" s="18" t="str">
        <f aca="false">IF(H15&gt;1,"&gt;1 FTE","")</f>
        <v/>
      </c>
    </row>
    <row r="16" customFormat="false" ht="15" hidden="false" customHeight="false" outlineLevel="0" collapsed="false">
      <c r="A16" s="7" t="s">
        <v>27</v>
      </c>
      <c r="B16" s="33" t="n">
        <f aca="false">IF(B$8=0,0,SUMIFS(WorkPackages!$E$4:$E$39,WorkPackages!$D$4:$D$39,$A16,WorkPackages!$C$4:$C$39,"R0")/$B$4/B$8)</f>
        <v>0</v>
      </c>
      <c r="C16" s="33" t="n">
        <f aca="false">IF(C$8=0,0,SUMIFS(WorkPackages!$E$4:$E$39,WorkPackages!$D$4:$D$39,$A16,WorkPackages!$C$4:$C$39,"R1")/$B$4/C$8)</f>
        <v>0</v>
      </c>
      <c r="D16" s="33" t="n">
        <f aca="false">IF(D$8=0,0,SUMIFS(WorkPackages!$E$4:$E$39,WorkPackages!$D$4:$D$39,$A16,WorkPackages!$C$4:$C$39,"R2")/$B$4/D$8)</f>
        <v>0.567460317460317</v>
      </c>
      <c r="E16" s="33" t="n">
        <f aca="false">IF(E$8=0,0,SUMIFS(WorkPackages!$E$4:$E$39,WorkPackages!$D$4:$D$39,$A16,WorkPackages!$C$4:$C$39,"R3")/$B$4/E$8)</f>
        <v>0</v>
      </c>
      <c r="F16" s="33" t="n">
        <f aca="false">IF(F$8=0,0,SUMIFS(WorkPackages!$E$4:$E$39,WorkPackages!$D$4:$D$39,$A16,WorkPackages!$C$4:$C$39,"R4")/$B$4/F$8)</f>
        <v>0</v>
      </c>
      <c r="G16" s="33" t="n">
        <f aca="false">IF(G$8=0,0,SUMIFS(WorkPackages!$E$4:$E$39,WorkPackages!$D$4:$D$39,$A16,WorkPackages!$C$4:$C$39,"R5")/$B$4/G$8)</f>
        <v>0</v>
      </c>
      <c r="H16" s="33" t="n">
        <f aca="false">IF(H$8=0,0,SUMIFS(WorkPackages!$E$4:$E$39,WorkPackages!$D$4:$D$39,$A16,WorkPackages!$C$4:$C$39,"ALL")/$B$4/H$8)</f>
        <v>0.139784946236559</v>
      </c>
      <c r="J16" s="18" t="str">
        <f aca="false">IF(B16&gt;1,"&gt;1 FTE","")</f>
        <v/>
      </c>
      <c r="K16" s="18" t="str">
        <f aca="false">IF(C16&gt;1,"&gt;1 FTE","")</f>
        <v/>
      </c>
      <c r="L16" s="18" t="str">
        <f aca="false">IF(D16&gt;1,"&gt;1 FTE","")</f>
        <v/>
      </c>
      <c r="M16" s="18" t="str">
        <f aca="false">IF(E16&gt;1,"&gt;1 FTE","")</f>
        <v/>
      </c>
      <c r="N16" s="18" t="str">
        <f aca="false">IF(F16&gt;1,"&gt;1 FTE","")</f>
        <v/>
      </c>
      <c r="O16" s="18" t="str">
        <f aca="false">IF(G16&gt;1,"&gt;1 FTE","")</f>
        <v/>
      </c>
      <c r="P16" s="18" t="str">
        <f aca="false">IF(H16&gt;1,"&gt;1 FTE","")</f>
        <v/>
      </c>
    </row>
    <row r="17" customFormat="false" ht="15" hidden="false" customHeight="false" outlineLevel="0" collapsed="false">
      <c r="A17" s="7" t="s">
        <v>28</v>
      </c>
      <c r="B17" s="33" t="n">
        <f aca="false">IF(B$8=0,0,SUMIFS(WorkPackages!$E$4:$E$39,WorkPackages!$D$4:$D$39,$A17,WorkPackages!$C$4:$C$39,"R0")/$B$4/B$8)</f>
        <v>1.08333333333333</v>
      </c>
      <c r="C17" s="33" t="n">
        <f aca="false">IF(C$8=0,0,SUMIFS(WorkPackages!$E$4:$E$39,WorkPackages!$D$4:$D$39,$A17,WorkPackages!$C$4:$C$39,"R1")/$B$4/C$8)</f>
        <v>0</v>
      </c>
      <c r="D17" s="33" t="n">
        <f aca="false">IF(D$8=0,0,SUMIFS(WorkPackages!$E$4:$E$39,WorkPackages!$D$4:$D$39,$A17,WorkPackages!$C$4:$C$39,"R2")/$B$4/D$8)</f>
        <v>0</v>
      </c>
      <c r="E17" s="33" t="n">
        <f aca="false">IF(E$8=0,0,SUMIFS(WorkPackages!$E$4:$E$39,WorkPackages!$D$4:$D$39,$A17,WorkPackages!$C$4:$C$39,"R3")/$B$4/E$8)</f>
        <v>0</v>
      </c>
      <c r="F17" s="33" t="n">
        <f aca="false">IF(F$8=0,0,SUMIFS(WorkPackages!$E$4:$E$39,WorkPackages!$D$4:$D$39,$A17,WorkPackages!$C$4:$C$39,"R4")/$B$4/F$8)</f>
        <v>0</v>
      </c>
      <c r="G17" s="33" t="n">
        <f aca="false">IF(G$8=0,0,SUMIFS(WorkPackages!$E$4:$E$39,WorkPackages!$D$4:$D$39,$A17,WorkPackages!$C$4:$C$39,"R5")/$B$4/G$8)</f>
        <v>0</v>
      </c>
      <c r="H17" s="33" t="n">
        <f aca="false">IF(H$8=0,0,SUMIFS(WorkPackages!$E$4:$E$39,WorkPackages!$D$4:$D$39,$A17,WorkPackages!$C$4:$C$39,"ALL")/$B$4/H$8)</f>
        <v>0</v>
      </c>
      <c r="J17" s="18" t="str">
        <f aca="false">IF(B17&gt;1,"&gt;1 FTE","")</f>
        <v>&gt;1 FTE</v>
      </c>
      <c r="K17" s="18" t="str">
        <f aca="false">IF(C17&gt;1,"&gt;1 FTE","")</f>
        <v/>
      </c>
      <c r="L17" s="18" t="str">
        <f aca="false">IF(D17&gt;1,"&gt;1 FTE","")</f>
        <v/>
      </c>
      <c r="M17" s="18" t="str">
        <f aca="false">IF(E17&gt;1,"&gt;1 FTE","")</f>
        <v/>
      </c>
      <c r="N17" s="18" t="str">
        <f aca="false">IF(F17&gt;1,"&gt;1 FTE","")</f>
        <v/>
      </c>
      <c r="O17" s="18" t="str">
        <f aca="false">IF(G17&gt;1,"&gt;1 FTE","")</f>
        <v/>
      </c>
      <c r="P17" s="18" t="str">
        <f aca="false">IF(H17&gt;1,"&gt;1 FTE","")</f>
        <v/>
      </c>
    </row>
    <row r="18" customFormat="false" ht="15" hidden="false" customHeight="false" outlineLevel="0" collapsed="false">
      <c r="A18" s="7" t="s">
        <v>29</v>
      </c>
      <c r="B18" s="33" t="n">
        <f aca="false">IF(B$8=0,0,SUMIFS(WorkPackages!$E$4:$E$39,WorkPackages!$D$4:$D$39,$A18,WorkPackages!$C$4:$C$39,"R0")/$B$4/B$8)</f>
        <v>0</v>
      </c>
      <c r="C18" s="33" t="n">
        <f aca="false">IF(C$8=0,0,SUMIFS(WorkPackages!$E$4:$E$39,WorkPackages!$D$4:$D$39,$A18,WorkPackages!$C$4:$C$39,"R1")/$B$4/C$8)</f>
        <v>0</v>
      </c>
      <c r="D18" s="33" t="n">
        <f aca="false">IF(D$8=0,0,SUMIFS(WorkPackages!$E$4:$E$39,WorkPackages!$D$4:$D$39,$A18,WorkPackages!$C$4:$C$39,"R2")/$B$4/D$8)</f>
        <v>0</v>
      </c>
      <c r="E18" s="33" t="n">
        <f aca="false">IF(E$8=0,0,SUMIFS(WorkPackages!$E$4:$E$39,WorkPackages!$D$4:$D$39,$A18,WorkPackages!$C$4:$C$39,"R3")/$B$4/E$8)</f>
        <v>0</v>
      </c>
      <c r="F18" s="33" t="n">
        <f aca="false">IF(F$8=0,0,SUMIFS(WorkPackages!$E$4:$E$39,WorkPackages!$D$4:$D$39,$A18,WorkPackages!$C$4:$C$39,"R4")/$B$4/F$8)</f>
        <v>0</v>
      </c>
      <c r="G18" s="33" t="n">
        <f aca="false">IF(G$8=0,0,SUMIFS(WorkPackages!$E$4:$E$39,WorkPackages!$D$4:$D$39,$A18,WorkPackages!$C$4:$C$39,"R5")/$B$4/G$8)</f>
        <v>0</v>
      </c>
      <c r="H18" s="33" t="n">
        <f aca="false">IF(H$8=0,0,SUMIFS(WorkPackages!$E$4:$E$39,WorkPackages!$D$4:$D$39,$A18,WorkPackages!$C$4:$C$39,"ALL")/$B$4/H$8)</f>
        <v>0.372759856630824</v>
      </c>
      <c r="J18" s="18" t="str">
        <f aca="false">IF(B18&gt;1,"&gt;1 FTE","")</f>
        <v/>
      </c>
      <c r="K18" s="18" t="str">
        <f aca="false">IF(C18&gt;1,"&gt;1 FTE","")</f>
        <v/>
      </c>
      <c r="L18" s="18" t="str">
        <f aca="false">IF(D18&gt;1,"&gt;1 FTE","")</f>
        <v/>
      </c>
      <c r="M18" s="18" t="str">
        <f aca="false">IF(E18&gt;1,"&gt;1 FTE","")</f>
        <v/>
      </c>
      <c r="N18" s="18" t="str">
        <f aca="false">IF(F18&gt;1,"&gt;1 FTE","")</f>
        <v/>
      </c>
      <c r="O18" s="18" t="str">
        <f aca="false">IF(G18&gt;1,"&gt;1 FTE","")</f>
        <v/>
      </c>
      <c r="P18" s="18" t="str">
        <f aca="false">IF(H18&gt;1,"&gt;1 FTE","")</f>
        <v/>
      </c>
    </row>
    <row r="19" customFormat="false" ht="15" hidden="false" customHeight="false" outlineLevel="0" collapsed="false">
      <c r="A19" s="7" t="s">
        <v>30</v>
      </c>
      <c r="B19" s="33" t="n">
        <f aca="false">IF(B$8=0,0,SUMIFS(WorkPackages!$E$4:$E$39,WorkPackages!$D$4:$D$39,$A19,WorkPackages!$C$4:$C$39,"R0")/$B$4/B$8)</f>
        <v>0</v>
      </c>
      <c r="C19" s="33" t="n">
        <f aca="false">IF(C$8=0,0,SUMIFS(WorkPackages!$E$4:$E$39,WorkPackages!$D$4:$D$39,$A19,WorkPackages!$C$4:$C$39,"R1")/$B$4/C$8)</f>
        <v>0</v>
      </c>
      <c r="D19" s="33" t="n">
        <f aca="false">IF(D$8=0,0,SUMIFS(WorkPackages!$E$4:$E$39,WorkPackages!$D$4:$D$39,$A19,WorkPackages!$C$4:$C$39,"R2")/$B$4/D$8)</f>
        <v>0</v>
      </c>
      <c r="E19" s="33" t="n">
        <f aca="false">IF(E$8=0,0,SUMIFS(WorkPackages!$E$4:$E$39,WorkPackages!$D$4:$D$39,$A19,WorkPackages!$C$4:$C$39,"R3")/$B$4/E$8)</f>
        <v>0</v>
      </c>
      <c r="F19" s="33" t="n">
        <f aca="false">IF(F$8=0,0,SUMIFS(WorkPackages!$E$4:$E$39,WorkPackages!$D$4:$D$39,$A19,WorkPackages!$C$4:$C$39,"R4")/$B$4/F$8)</f>
        <v>0</v>
      </c>
      <c r="G19" s="33" t="n">
        <f aca="false">IF(G$8=0,0,SUMIFS(WorkPackages!$E$4:$E$39,WorkPackages!$D$4:$D$39,$A19,WorkPackages!$C$4:$C$39,"R5")/$B$4/G$8)</f>
        <v>0</v>
      </c>
      <c r="H19" s="33" t="n">
        <f aca="false">IF(H$8=0,0,SUMIFS(WorkPackages!$E$4:$E$39,WorkPackages!$D$4:$D$39,$A19,WorkPackages!$C$4:$C$39,"ALL")/$B$4/H$8)</f>
        <v>0.186379928315412</v>
      </c>
      <c r="J19" s="18" t="str">
        <f aca="false">IF(B19&gt;1,"&gt;1 FTE","")</f>
        <v/>
      </c>
      <c r="K19" s="18" t="str">
        <f aca="false">IF(C19&gt;1,"&gt;1 FTE","")</f>
        <v/>
      </c>
      <c r="L19" s="18" t="str">
        <f aca="false">IF(D19&gt;1,"&gt;1 FTE","")</f>
        <v/>
      </c>
      <c r="M19" s="18" t="str">
        <f aca="false">IF(E19&gt;1,"&gt;1 FTE","")</f>
        <v/>
      </c>
      <c r="N19" s="18" t="str">
        <f aca="false">IF(F19&gt;1,"&gt;1 FTE","")</f>
        <v/>
      </c>
      <c r="O19" s="18" t="str">
        <f aca="false">IF(G19&gt;1,"&gt;1 FTE","")</f>
        <v/>
      </c>
      <c r="P19" s="18" t="str">
        <f aca="false">IF(H19&gt;1,"&gt;1 FTE","")</f>
        <v/>
      </c>
    </row>
    <row r="20" customFormat="false" ht="15" hidden="false" customHeight="false" outlineLevel="0" collapsed="false">
      <c r="A20" s="7" t="s">
        <v>31</v>
      </c>
      <c r="B20" s="33" t="n">
        <f aca="false">IF(B$8=0,0,SUMIFS(WorkPackages!$E$4:$E$39,WorkPackages!$D$4:$D$39,$A20,WorkPackages!$C$4:$C$39,"R0")/$B$4/B$8)</f>
        <v>0</v>
      </c>
      <c r="C20" s="33" t="n">
        <f aca="false">IF(C$8=0,0,SUMIFS(WorkPackages!$E$4:$E$39,WorkPackages!$D$4:$D$39,$A20,WorkPackages!$C$4:$C$39,"R1")/$B$4/C$8)</f>
        <v>0</v>
      </c>
      <c r="D20" s="33" t="n">
        <f aca="false">IF(D$8=0,0,SUMIFS(WorkPackages!$E$4:$E$39,WorkPackages!$D$4:$D$39,$A20,WorkPackages!$C$4:$C$39,"R2")/$B$4/D$8)</f>
        <v>0</v>
      </c>
      <c r="E20" s="33" t="n">
        <f aca="false">IF(E$8=0,0,SUMIFS(WorkPackages!$E$4:$E$39,WorkPackages!$D$4:$D$39,$A20,WorkPackages!$C$4:$C$39,"R3")/$B$4/E$8)</f>
        <v>0</v>
      </c>
      <c r="F20" s="33" t="n">
        <f aca="false">IF(F$8=0,0,SUMIFS(WorkPackages!$E$4:$E$39,WorkPackages!$D$4:$D$39,$A20,WorkPackages!$C$4:$C$39,"R4")/$B$4/F$8)</f>
        <v>0</v>
      </c>
      <c r="G20" s="33" t="n">
        <f aca="false">IF(G$8=0,0,SUMIFS(WorkPackages!$E$4:$E$39,WorkPackages!$D$4:$D$39,$A20,WorkPackages!$C$4:$C$39,"R5")/$B$4/G$8)</f>
        <v>0</v>
      </c>
      <c r="H20" s="33" t="n">
        <f aca="false">IF(H$8=0,0,SUMIFS(WorkPackages!$E$4:$E$39,WorkPackages!$D$4:$D$39,$A20,WorkPackages!$C$4:$C$39,"ALL")/$B$4/H$8)</f>
        <v>0.232974910394265</v>
      </c>
      <c r="J20" s="18" t="str">
        <f aca="false">IF(B20&gt;1,"&gt;1 FTE","")</f>
        <v/>
      </c>
      <c r="K20" s="18" t="str">
        <f aca="false">IF(C20&gt;1,"&gt;1 FTE","")</f>
        <v/>
      </c>
      <c r="L20" s="18" t="str">
        <f aca="false">IF(D20&gt;1,"&gt;1 FTE","")</f>
        <v/>
      </c>
      <c r="M20" s="18" t="str">
        <f aca="false">IF(E20&gt;1,"&gt;1 FTE","")</f>
        <v/>
      </c>
      <c r="N20" s="18" t="str">
        <f aca="false">IF(F20&gt;1,"&gt;1 FTE","")</f>
        <v/>
      </c>
      <c r="O20" s="18" t="str">
        <f aca="false">IF(G20&gt;1,"&gt;1 FTE","")</f>
        <v/>
      </c>
      <c r="P20" s="18" t="str">
        <f aca="false">IF(H20&gt;1,"&gt;1 FTE","")</f>
        <v/>
      </c>
    </row>
    <row r="21" customFormat="false" ht="15" hidden="false" customHeight="false" outlineLevel="0" collapsed="false">
      <c r="A21" s="23" t="s">
        <v>331</v>
      </c>
      <c r="B21" s="34" t="n">
        <f aca="false">SUM(B9:B20)</f>
        <v>8.30555555555556</v>
      </c>
      <c r="C21" s="34" t="n">
        <f aca="false">SUM(C9:C20)</f>
        <v>10.8333333333333</v>
      </c>
      <c r="D21" s="34" t="n">
        <f aca="false">SUM(D9:D20)</f>
        <v>3.1984126984127</v>
      </c>
      <c r="E21" s="34" t="n">
        <f aca="false">SUM(E9:E20)</f>
        <v>4.55</v>
      </c>
      <c r="F21" s="34" t="n">
        <f aca="false">SUM(F9:F20)</f>
        <v>1.80555555555556</v>
      </c>
      <c r="G21" s="34" t="n">
        <f aca="false">SUM(G9:G20)</f>
        <v>2.67222222222222</v>
      </c>
      <c r="H21" s="34" t="n">
        <f aca="false">SUM(H9:H20)</f>
        <v>0.931899641577061</v>
      </c>
    </row>
    <row r="23" customFormat="false" ht="15" hidden="false" customHeight="false" outlineLevel="0" collapsed="false">
      <c r="A23" s="5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8" min="3" style="0" width="16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5" t="s">
        <v>334</v>
      </c>
    </row>
    <row r="4" customFormat="false" ht="39.55" hidden="false" customHeight="false" outlineLevel="0" collapsed="false">
      <c r="A4" s="6" t="s">
        <v>335</v>
      </c>
      <c r="B4" s="6" t="s">
        <v>336</v>
      </c>
      <c r="C4" s="6" t="s">
        <v>337</v>
      </c>
      <c r="D4" s="6" t="s">
        <v>338</v>
      </c>
      <c r="E4" s="6" t="s">
        <v>339</v>
      </c>
      <c r="F4" s="6" t="s">
        <v>340</v>
      </c>
      <c r="G4" s="6" t="s">
        <v>341</v>
      </c>
      <c r="H4" s="6" t="s">
        <v>342</v>
      </c>
      <c r="I4" s="6" t="s">
        <v>343</v>
      </c>
    </row>
    <row r="5" customFormat="false" ht="15" hidden="false" customHeight="false" outlineLevel="0" collapsed="false">
      <c r="A5" s="7" t="s">
        <v>344</v>
      </c>
      <c r="B5" s="20" t="s">
        <v>174</v>
      </c>
      <c r="C5" s="21" t="n">
        <f aca="false">Assumptions!$B$35</f>
        <v>45000</v>
      </c>
      <c r="D5" s="14" t="n">
        <f aca="false">C5*Assumptions!$B$90</f>
        <v>36000</v>
      </c>
      <c r="E5" s="14" t="n">
        <f aca="false">C5*Assumptions!$B$92</f>
        <v>58500</v>
      </c>
      <c r="F5" s="14" t="n">
        <f aca="false">C5*12</f>
        <v>540000</v>
      </c>
      <c r="G5" s="14" t="n">
        <f aca="false">D5*12</f>
        <v>432000</v>
      </c>
      <c r="H5" s="14" t="n">
        <f aca="false">E5*12</f>
        <v>702000</v>
      </c>
      <c r="I5" s="5" t="s">
        <v>345</v>
      </c>
    </row>
    <row r="6" customFormat="false" ht="15" hidden="false" customHeight="false" outlineLevel="0" collapsed="false">
      <c r="A6" s="7" t="s">
        <v>346</v>
      </c>
      <c r="B6" s="20" t="s">
        <v>174</v>
      </c>
      <c r="C6" s="21" t="n">
        <f aca="false">Assumptions!$B$36</f>
        <v>25000</v>
      </c>
      <c r="D6" s="14" t="n">
        <f aca="false">C6*Assumptions!$B$90</f>
        <v>20000</v>
      </c>
      <c r="E6" s="14" t="n">
        <f aca="false">C6*Assumptions!$B$92</f>
        <v>32500</v>
      </c>
      <c r="F6" s="14" t="n">
        <f aca="false">C6*12</f>
        <v>300000</v>
      </c>
      <c r="G6" s="14" t="n">
        <f aca="false">D6*12</f>
        <v>240000</v>
      </c>
      <c r="H6" s="14" t="n">
        <f aca="false">E6*12</f>
        <v>390000</v>
      </c>
      <c r="I6" s="5" t="s">
        <v>345</v>
      </c>
    </row>
    <row r="7" customFormat="false" ht="15" hidden="false" customHeight="false" outlineLevel="0" collapsed="false">
      <c r="A7" s="7" t="s">
        <v>347</v>
      </c>
      <c r="B7" s="20" t="s">
        <v>174</v>
      </c>
      <c r="C7" s="21" t="n">
        <f aca="false">Assumptions!$B$37</f>
        <v>8000</v>
      </c>
      <c r="D7" s="14" t="n">
        <f aca="false">C7*Assumptions!$B$90</f>
        <v>6400</v>
      </c>
      <c r="E7" s="14" t="n">
        <f aca="false">C7*Assumptions!$B$92</f>
        <v>10400</v>
      </c>
      <c r="F7" s="14" t="n">
        <f aca="false">C7*12</f>
        <v>96000</v>
      </c>
      <c r="G7" s="14" t="n">
        <f aca="false">D7*12</f>
        <v>76800</v>
      </c>
      <c r="H7" s="14" t="n">
        <f aca="false">E7*12</f>
        <v>124800</v>
      </c>
      <c r="I7" s="5" t="s">
        <v>345</v>
      </c>
    </row>
    <row r="8" customFormat="false" ht="15" hidden="false" customHeight="false" outlineLevel="0" collapsed="false">
      <c r="A8" s="7" t="s">
        <v>348</v>
      </c>
      <c r="B8" s="20" t="s">
        <v>174</v>
      </c>
      <c r="C8" s="21" t="n">
        <f aca="false">Assumptions!$B$38</f>
        <v>10000</v>
      </c>
      <c r="D8" s="14" t="n">
        <f aca="false">C8*Assumptions!$B$90</f>
        <v>8000</v>
      </c>
      <c r="E8" s="14" t="n">
        <f aca="false">C8*Assumptions!$B$92</f>
        <v>13000</v>
      </c>
      <c r="F8" s="14" t="n">
        <f aca="false">C8*12</f>
        <v>120000</v>
      </c>
      <c r="G8" s="14" t="n">
        <f aca="false">D8*12</f>
        <v>96000</v>
      </c>
      <c r="H8" s="14" t="n">
        <f aca="false">E8*12</f>
        <v>156000</v>
      </c>
      <c r="I8" s="5" t="s">
        <v>345</v>
      </c>
    </row>
    <row r="9" customFormat="false" ht="15" hidden="false" customHeight="false" outlineLevel="0" collapsed="false">
      <c r="A9" s="7" t="s">
        <v>349</v>
      </c>
      <c r="B9" s="20" t="s">
        <v>174</v>
      </c>
      <c r="C9" s="21" t="n">
        <f aca="false">Assumptions!$B$39</f>
        <v>5000</v>
      </c>
      <c r="D9" s="14" t="n">
        <f aca="false">C9*Assumptions!$B$90</f>
        <v>4000</v>
      </c>
      <c r="E9" s="14" t="n">
        <f aca="false">C9*Assumptions!$B$92</f>
        <v>6500</v>
      </c>
      <c r="F9" s="14" t="n">
        <f aca="false">C9*12</f>
        <v>60000</v>
      </c>
      <c r="G9" s="14" t="n">
        <f aca="false">D9*12</f>
        <v>48000</v>
      </c>
      <c r="H9" s="14" t="n">
        <f aca="false">E9*12</f>
        <v>78000</v>
      </c>
      <c r="I9" s="5" t="s">
        <v>345</v>
      </c>
    </row>
    <row r="10" customFormat="false" ht="15" hidden="false" customHeight="false" outlineLevel="0" collapsed="false">
      <c r="A10" s="7" t="s">
        <v>350</v>
      </c>
      <c r="B10" s="20" t="s">
        <v>174</v>
      </c>
      <c r="C10" s="21" t="n">
        <f aca="false">Assumptions!$B$40</f>
        <v>12000</v>
      </c>
      <c r="D10" s="14" t="n">
        <f aca="false">C10*Assumptions!$B$90</f>
        <v>9600</v>
      </c>
      <c r="E10" s="14" t="n">
        <f aca="false">C10*Assumptions!$B$92</f>
        <v>15600</v>
      </c>
      <c r="F10" s="14" t="n">
        <f aca="false">C10*12</f>
        <v>144000</v>
      </c>
      <c r="G10" s="14" t="n">
        <f aca="false">D10*12</f>
        <v>115200</v>
      </c>
      <c r="H10" s="14" t="n">
        <f aca="false">E10*12</f>
        <v>187200</v>
      </c>
      <c r="I10" s="5" t="s">
        <v>345</v>
      </c>
    </row>
    <row r="11" customFormat="false" ht="15" hidden="false" customHeight="false" outlineLevel="0" collapsed="false">
      <c r="A11" s="7" t="s">
        <v>351</v>
      </c>
      <c r="B11" s="20" t="s">
        <v>174</v>
      </c>
      <c r="C11" s="21" t="n">
        <f aca="false">Assumptions!$B$41</f>
        <v>6000</v>
      </c>
      <c r="D11" s="14" t="n">
        <f aca="false">C11*Assumptions!$B$90</f>
        <v>4800</v>
      </c>
      <c r="E11" s="14" t="n">
        <f aca="false">C11*Assumptions!$B$92</f>
        <v>7800</v>
      </c>
      <c r="F11" s="14" t="n">
        <f aca="false">C11*12</f>
        <v>72000</v>
      </c>
      <c r="G11" s="14" t="n">
        <f aca="false">D11*12</f>
        <v>57600</v>
      </c>
      <c r="H11" s="14" t="n">
        <f aca="false">E11*12</f>
        <v>93600</v>
      </c>
      <c r="I11" s="5" t="s">
        <v>345</v>
      </c>
    </row>
    <row r="12" customFormat="false" ht="15" hidden="false" customHeight="false" outlineLevel="0" collapsed="false">
      <c r="A12" s="7" t="s">
        <v>352</v>
      </c>
      <c r="B12" s="20" t="s">
        <v>174</v>
      </c>
      <c r="C12" s="21" t="n">
        <f aca="false">Assumptions!$B$42</f>
        <v>18000</v>
      </c>
      <c r="D12" s="14" t="n">
        <f aca="false">C12*Assumptions!$B$90</f>
        <v>14400</v>
      </c>
      <c r="E12" s="14" t="n">
        <f aca="false">C12*Assumptions!$B$92</f>
        <v>23400</v>
      </c>
      <c r="F12" s="14" t="n">
        <f aca="false">C12*12</f>
        <v>216000</v>
      </c>
      <c r="G12" s="14" t="n">
        <f aca="false">D12*12</f>
        <v>172800</v>
      </c>
      <c r="H12" s="14" t="n">
        <f aca="false">E12*12</f>
        <v>280800</v>
      </c>
      <c r="I12" s="5" t="s">
        <v>353</v>
      </c>
    </row>
    <row r="13" customFormat="false" ht="15" hidden="false" customHeight="false" outlineLevel="0" collapsed="false">
      <c r="A13" s="7" t="s">
        <v>354</v>
      </c>
      <c r="B13" s="20" t="s">
        <v>193</v>
      </c>
      <c r="C13" s="21" t="n">
        <f aca="false">Assumptions!$B$48</f>
        <v>192000</v>
      </c>
      <c r="D13" s="14" t="n">
        <f aca="false">C13*Assumptions!$B$90</f>
        <v>153600</v>
      </c>
      <c r="E13" s="14" t="n">
        <f aca="false">C13*Assumptions!$B$92</f>
        <v>249600</v>
      </c>
      <c r="F13" s="14" t="n">
        <f aca="false">C13*12</f>
        <v>2304000</v>
      </c>
      <c r="G13" s="14" t="n">
        <f aca="false">D13*12</f>
        <v>1843200</v>
      </c>
      <c r="H13" s="14" t="n">
        <f aca="false">E13*12</f>
        <v>2995200</v>
      </c>
      <c r="I13" s="5" t="s">
        <v>345</v>
      </c>
    </row>
    <row r="14" customFormat="false" ht="15" hidden="false" customHeight="false" outlineLevel="0" collapsed="false">
      <c r="A14" s="7" t="s">
        <v>355</v>
      </c>
      <c r="B14" s="20" t="s">
        <v>174</v>
      </c>
      <c r="C14" s="21" t="n">
        <f aca="false">Assumptions!$B$49</f>
        <v>20000</v>
      </c>
      <c r="D14" s="14" t="n">
        <f aca="false">C14*Assumptions!$B$90</f>
        <v>16000</v>
      </c>
      <c r="E14" s="14" t="n">
        <f aca="false">C14*Assumptions!$B$92</f>
        <v>26000</v>
      </c>
      <c r="F14" s="14" t="n">
        <f aca="false">C14*12</f>
        <v>240000</v>
      </c>
      <c r="G14" s="14" t="n">
        <f aca="false">D14*12</f>
        <v>192000</v>
      </c>
      <c r="H14" s="14" t="n">
        <f aca="false">E14*12</f>
        <v>312000</v>
      </c>
      <c r="I14" s="5" t="s">
        <v>345</v>
      </c>
    </row>
    <row r="15" customFormat="false" ht="15" hidden="false" customHeight="false" outlineLevel="0" collapsed="false">
      <c r="A15" s="7" t="s">
        <v>356</v>
      </c>
      <c r="B15" s="20" t="s">
        <v>174</v>
      </c>
      <c r="C15" s="21" t="n">
        <f aca="false">Assumptions!$B$50/12</f>
        <v>25000</v>
      </c>
      <c r="D15" s="14" t="n">
        <f aca="false">C15*Assumptions!$B$90</f>
        <v>20000</v>
      </c>
      <c r="E15" s="14" t="n">
        <f aca="false">C15*Assumptions!$B$92</f>
        <v>32500</v>
      </c>
      <c r="F15" s="14" t="n">
        <f aca="false">C15*12</f>
        <v>300000</v>
      </c>
      <c r="G15" s="14" t="n">
        <f aca="false">D15*12</f>
        <v>240000</v>
      </c>
      <c r="H15" s="14" t="n">
        <f aca="false">E15*12</f>
        <v>390000</v>
      </c>
      <c r="I15" s="5" t="s">
        <v>345</v>
      </c>
    </row>
    <row r="16" customFormat="false" ht="15" hidden="false" customHeight="false" outlineLevel="0" collapsed="false">
      <c r="A16" s="7" t="s">
        <v>357</v>
      </c>
      <c r="B16" s="20" t="s">
        <v>174</v>
      </c>
      <c r="C16" s="21" t="n">
        <f aca="false">Assumptions!$B$55</f>
        <v>0</v>
      </c>
      <c r="D16" s="14" t="n">
        <f aca="false">C16*Assumptions!$B$90</f>
        <v>0</v>
      </c>
      <c r="E16" s="14" t="n">
        <f aca="false">C16*Assumptions!$B$92</f>
        <v>0</v>
      </c>
      <c r="F16" s="14" t="n">
        <f aca="false">C16*12</f>
        <v>0</v>
      </c>
      <c r="G16" s="14" t="n">
        <f aca="false">D16*12</f>
        <v>0</v>
      </c>
      <c r="H16" s="14" t="n">
        <f aca="false">E16*12</f>
        <v>0</v>
      </c>
      <c r="I16" s="5" t="s">
        <v>345</v>
      </c>
    </row>
    <row r="17" customFormat="false" ht="15" hidden="false" customHeight="false" outlineLevel="0" collapsed="false">
      <c r="A17" s="7" t="s">
        <v>358</v>
      </c>
      <c r="B17" s="20" t="s">
        <v>193</v>
      </c>
      <c r="C17" s="21" t="n">
        <f aca="false">Assumptions!$B$56</f>
        <v>0</v>
      </c>
      <c r="D17" s="14" t="n">
        <f aca="false">C17*Assumptions!$B$90</f>
        <v>0</v>
      </c>
      <c r="E17" s="14" t="n">
        <f aca="false">C17*Assumptions!$B$92</f>
        <v>0</v>
      </c>
      <c r="F17" s="14" t="n">
        <f aca="false">C17*12</f>
        <v>0</v>
      </c>
      <c r="G17" s="14" t="n">
        <f aca="false">D17*12</f>
        <v>0</v>
      </c>
      <c r="H17" s="14" t="n">
        <f aca="false">E17*12</f>
        <v>0</v>
      </c>
      <c r="I17" s="5" t="s">
        <v>359</v>
      </c>
    </row>
    <row r="18" customFormat="false" ht="15" hidden="false" customHeight="false" outlineLevel="0" collapsed="false">
      <c r="A18" s="7" t="s">
        <v>360</v>
      </c>
      <c r="B18" s="20" t="s">
        <v>193</v>
      </c>
      <c r="C18" s="21" t="n">
        <f aca="false">Assumptions!$B$57</f>
        <v>0</v>
      </c>
      <c r="D18" s="14" t="n">
        <f aca="false">C18*Assumptions!$B$90</f>
        <v>0</v>
      </c>
      <c r="E18" s="14" t="n">
        <f aca="false">C18*Assumptions!$B$92</f>
        <v>0</v>
      </c>
      <c r="F18" s="14" t="n">
        <f aca="false">C18*12</f>
        <v>0</v>
      </c>
      <c r="G18" s="14" t="n">
        <f aca="false">D18*12</f>
        <v>0</v>
      </c>
      <c r="H18" s="14" t="n">
        <f aca="false">E18*12</f>
        <v>0</v>
      </c>
      <c r="I18" s="5" t="s">
        <v>361</v>
      </c>
    </row>
    <row r="19" customFormat="false" ht="15" hidden="false" customHeight="false" outlineLevel="0" collapsed="false">
      <c r="A19" s="7" t="s">
        <v>362</v>
      </c>
      <c r="B19" s="20" t="s">
        <v>174</v>
      </c>
      <c r="C19" s="21" t="n">
        <f aca="false">Assumptions!$B$58</f>
        <v>15000</v>
      </c>
      <c r="D19" s="14" t="n">
        <f aca="false">C19*Assumptions!$B$90</f>
        <v>12000</v>
      </c>
      <c r="E19" s="14" t="n">
        <f aca="false">C19*Assumptions!$B$92</f>
        <v>19500</v>
      </c>
      <c r="F19" s="14" t="n">
        <f aca="false">C19*12</f>
        <v>180000</v>
      </c>
      <c r="G19" s="14" t="n">
        <f aca="false">D19*12</f>
        <v>144000</v>
      </c>
      <c r="H19" s="14" t="n">
        <f aca="false">E19*12</f>
        <v>234000</v>
      </c>
      <c r="I19" s="5" t="s">
        <v>345</v>
      </c>
    </row>
    <row r="20" customFormat="false" ht="15" hidden="false" customHeight="false" outlineLevel="0" collapsed="false">
      <c r="A20" s="7" t="s">
        <v>363</v>
      </c>
      <c r="B20" s="20" t="s">
        <v>174</v>
      </c>
      <c r="C20" s="21" t="n">
        <f aca="false">Assumptions!$B$61</f>
        <v>25200</v>
      </c>
      <c r="D20" s="14" t="n">
        <f aca="false">C20*Assumptions!$B$90</f>
        <v>20160</v>
      </c>
      <c r="E20" s="14" t="n">
        <f aca="false">C20*Assumptions!$B$92</f>
        <v>32760</v>
      </c>
      <c r="F20" s="14" t="n">
        <f aca="false">C20*12</f>
        <v>302400</v>
      </c>
      <c r="G20" s="14" t="n">
        <f aca="false">D20*12</f>
        <v>241920</v>
      </c>
      <c r="H20" s="14" t="n">
        <f aca="false">E20*12</f>
        <v>393120</v>
      </c>
      <c r="I20" s="5" t="s">
        <v>364</v>
      </c>
    </row>
    <row r="21" customFormat="false" ht="15" hidden="false" customHeight="false" outlineLevel="0" collapsed="false">
      <c r="A21" s="7" t="s">
        <v>91</v>
      </c>
      <c r="B21" s="20" t="s">
        <v>193</v>
      </c>
      <c r="C21" s="21" t="n">
        <f aca="false">Assumptions!$B$52</f>
        <v>0</v>
      </c>
      <c r="D21" s="14" t="n">
        <f aca="false">C21*Assumptions!$B$90</f>
        <v>0</v>
      </c>
      <c r="E21" s="14" t="n">
        <f aca="false">C21*Assumptions!$B$92</f>
        <v>0</v>
      </c>
      <c r="F21" s="14" t="n">
        <f aca="false">C21*12</f>
        <v>0</v>
      </c>
      <c r="G21" s="14" t="n">
        <f aca="false">D21*12</f>
        <v>0</v>
      </c>
      <c r="H21" s="14" t="n">
        <f aca="false">E21*12</f>
        <v>0</v>
      </c>
      <c r="I21" s="5" t="s">
        <v>365</v>
      </c>
    </row>
    <row r="22" customFormat="false" ht="15" hidden="false" customHeight="false" outlineLevel="0" collapsed="false">
      <c r="A22" s="7" t="s">
        <v>366</v>
      </c>
      <c r="B22" s="20" t="s">
        <v>239</v>
      </c>
      <c r="C22" s="21" t="n">
        <f aca="false">Assumptions!$B$75</f>
        <v>49560</v>
      </c>
      <c r="D22" s="14" t="n">
        <f aca="false">C22*Assumptions!$B$90</f>
        <v>39648</v>
      </c>
      <c r="E22" s="14" t="n">
        <f aca="false">C22*Assumptions!$B$92</f>
        <v>64428</v>
      </c>
      <c r="F22" s="14" t="n">
        <f aca="false">C22*12</f>
        <v>594720</v>
      </c>
      <c r="G22" s="14" t="n">
        <f aca="false">D22*12</f>
        <v>475776</v>
      </c>
      <c r="H22" s="14" t="n">
        <f aca="false">E22*12</f>
        <v>773136</v>
      </c>
      <c r="I22" s="5" t="s">
        <v>345</v>
      </c>
    </row>
    <row r="23" customFormat="false" ht="15" hidden="false" customHeight="false" outlineLevel="0" collapsed="false">
      <c r="A23" s="7" t="s">
        <v>367</v>
      </c>
      <c r="B23" s="20" t="s">
        <v>239</v>
      </c>
      <c r="C23" s="21" t="n">
        <f aca="false">Assumptions!$B$51</f>
        <v>40000</v>
      </c>
      <c r="D23" s="14" t="n">
        <f aca="false">C23*Assumptions!$B$90</f>
        <v>32000</v>
      </c>
      <c r="E23" s="14" t="n">
        <f aca="false">C23*Assumptions!$B$92</f>
        <v>52000</v>
      </c>
      <c r="F23" s="14" t="n">
        <f aca="false">C23*12</f>
        <v>480000</v>
      </c>
      <c r="G23" s="14" t="n">
        <f aca="false">D23*12</f>
        <v>384000</v>
      </c>
      <c r="H23" s="14" t="n">
        <f aca="false">E23*12</f>
        <v>624000</v>
      </c>
      <c r="I23" s="5" t="s">
        <v>345</v>
      </c>
    </row>
    <row r="24" customFormat="false" ht="15" hidden="false" customHeight="false" outlineLevel="0" collapsed="false">
      <c r="A24" s="23" t="s">
        <v>368</v>
      </c>
      <c r="B24" s="24"/>
      <c r="C24" s="26" t="n">
        <f aca="false">SUM(C5:C23)</f>
        <v>495760</v>
      </c>
      <c r="D24" s="26" t="n">
        <f aca="false">SUM(D5:D23)</f>
        <v>396608</v>
      </c>
      <c r="E24" s="26" t="n">
        <f aca="false">SUM(E5:E23)</f>
        <v>644488</v>
      </c>
      <c r="F24" s="26" t="n">
        <f aca="false">SUM(F5:F23)</f>
        <v>5949120</v>
      </c>
      <c r="G24" s="26" t="n">
        <f aca="false">SUM(G5:G23)</f>
        <v>4759296</v>
      </c>
      <c r="H24" s="26" t="n">
        <f aca="false">SUM(H5:H23)</f>
        <v>7733856</v>
      </c>
    </row>
    <row r="25" customFormat="false" ht="15" hidden="false" customHeight="false" outlineLevel="0" collapsed="false">
      <c r="A25" s="23" t="s">
        <v>369</v>
      </c>
      <c r="B25" s="24"/>
      <c r="C25" s="26" t="n">
        <f aca="false">SUMIFS(C5:C23,$B$5:$B$23,"R0")+SUMIFS(C5:C23,$B$5:$B$23,"R1")</f>
        <v>406200</v>
      </c>
      <c r="D25" s="26" t="n">
        <f aca="false">SUMIFS(D5:D23,$B$5:$B$23,"R0")+SUMIFS(D5:D23,$B$5:$B$23,"R1")</f>
        <v>324960</v>
      </c>
      <c r="E25" s="26" t="n">
        <f aca="false">SUMIFS(E5:E23,$B$5:$B$23,"R0")+SUMIFS(E5:E23,$B$5:$B$23,"R1")</f>
        <v>528060</v>
      </c>
      <c r="F25" s="26" t="n">
        <f aca="false">SUMIFS(F5:F23,$B$5:$B$23,"R0")+SUMIFS(F5:F23,$B$5:$B$23,"R1")</f>
        <v>4874400</v>
      </c>
      <c r="G25" s="26" t="n">
        <f aca="false">SUMIFS(G5:G23,$B$5:$B$23,"R0")+SUMIFS(G5:G23,$B$5:$B$23,"R1")</f>
        <v>3899520</v>
      </c>
      <c r="H25" s="26" t="n">
        <f aca="false">SUMIFS(H5:H23,$B$5:$B$23,"R0")+SUMIFS(H5:H23,$B$5:$B$23,"R1")</f>
        <v>6336720</v>
      </c>
      <c r="I25" s="5" t="s">
        <v>370</v>
      </c>
    </row>
    <row r="26" customFormat="false" ht="15" hidden="false" customHeight="false" outlineLevel="0" collapsed="false">
      <c r="A26" s="7" t="s">
        <v>371</v>
      </c>
      <c r="C26" s="14" t="n">
        <f aca="false">SUM(C5:C12)</f>
        <v>129000</v>
      </c>
    </row>
    <row r="27" customFormat="false" ht="15" hidden="false" customHeight="false" outlineLevel="0" collapsed="false">
      <c r="A27" s="5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8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" t="s">
        <v>373</v>
      </c>
    </row>
    <row r="2" customFormat="false" ht="45" hidden="false" customHeight="true" outlineLevel="0" collapsed="false">
      <c r="A2" s="35" t="s">
        <v>374</v>
      </c>
    </row>
    <row r="4" customFormat="false" ht="15" hidden="false" customHeight="false" outlineLevel="0" collapsed="false">
      <c r="A4" s="28" t="s">
        <v>375</v>
      </c>
    </row>
    <row r="5" customFormat="false" ht="15" hidden="false" customHeight="false" outlineLevel="0" collapsed="false">
      <c r="A5" s="7" t="s">
        <v>376</v>
      </c>
      <c r="B5" s="21" t="n">
        <f aca="false">Build_Summary!$E$19</f>
        <v>21060305.6367432</v>
      </c>
    </row>
    <row r="6" customFormat="false" ht="15" hidden="false" customHeight="false" outlineLevel="0" collapsed="false">
      <c r="A6" s="7" t="s">
        <v>377</v>
      </c>
      <c r="B6" s="21" t="n">
        <f aca="false">Build_Summary!$E$12</f>
        <v>33124800</v>
      </c>
    </row>
    <row r="7" customFormat="false" ht="15" hidden="false" customHeight="false" outlineLevel="0" collapsed="false">
      <c r="A7" s="7" t="s">
        <v>378</v>
      </c>
      <c r="B7" s="21" t="n">
        <f aca="false">Assumptions!$B$78+Assumptions!$B$79+Assumptions!$B$80</f>
        <v>650000</v>
      </c>
    </row>
    <row r="8" customFormat="false" ht="15" hidden="false" customHeight="false" outlineLevel="0" collapsed="false">
      <c r="A8" s="7" t="s">
        <v>379</v>
      </c>
      <c r="B8" s="21" t="n">
        <f aca="false">OpEx_Monthly!$C$24</f>
        <v>495760</v>
      </c>
    </row>
    <row r="9" customFormat="false" ht="15" hidden="false" customHeight="false" outlineLevel="0" collapsed="false">
      <c r="A9" s="7" t="s">
        <v>380</v>
      </c>
      <c r="B9" s="21" t="n">
        <f aca="false">OpEx_Monthly!$C$25</f>
        <v>406200</v>
      </c>
    </row>
    <row r="10" customFormat="false" ht="15" hidden="false" customHeight="false" outlineLevel="0" collapsed="false">
      <c r="A10" s="7" t="s">
        <v>381</v>
      </c>
      <c r="B10" s="36" t="n">
        <f aca="false">Assumptions!$B$90</f>
        <v>0.8</v>
      </c>
      <c r="C10" s="36" t="n">
        <f aca="false">Assumptions!$B$91</f>
        <v>1</v>
      </c>
      <c r="D10" s="36" t="n">
        <f aca="false">Assumptions!$B$92</f>
        <v>1.3</v>
      </c>
    </row>
    <row r="12" customFormat="false" ht="15" hidden="false" customHeight="false" outlineLevel="0" collapsed="false">
      <c r="A12" s="28" t="s">
        <v>382</v>
      </c>
    </row>
    <row r="13" customFormat="false" ht="15" hidden="false" customHeight="false" outlineLevel="0" collapsed="false">
      <c r="A13" s="6" t="s">
        <v>383</v>
      </c>
      <c r="B13" s="6" t="s">
        <v>153</v>
      </c>
      <c r="C13" s="6" t="s">
        <v>156</v>
      </c>
      <c r="D13" s="6" t="s">
        <v>157</v>
      </c>
      <c r="E13" s="6" t="s">
        <v>129</v>
      </c>
    </row>
    <row r="14" customFormat="false" ht="15" hidden="false" customHeight="false" outlineLevel="0" collapsed="false">
      <c r="A14" s="7" t="s">
        <v>384</v>
      </c>
      <c r="B14" s="14" t="n">
        <f aca="false">(B$5+B$7)*B$10+B$9*12*B$10</f>
        <v>21267764.5093946</v>
      </c>
      <c r="C14" s="14" t="n">
        <f aca="false">(B$5+B$7)*C$10+B$9*12*C$10</f>
        <v>26584705.6367432</v>
      </c>
      <c r="D14" s="14" t="n">
        <f aca="false">(B$5+B$7)*D$10+B$9*12*D$10</f>
        <v>34560117.3277662</v>
      </c>
      <c r="E14" s="5" t="s">
        <v>385</v>
      </c>
    </row>
    <row r="15" customFormat="false" ht="15" hidden="false" customHeight="false" outlineLevel="0" collapsed="false">
      <c r="A15" s="7" t="s">
        <v>386</v>
      </c>
      <c r="B15" s="14" t="n">
        <f aca="false">(B$5+B$7)*B$10+B$9*24*B$10</f>
        <v>25167284.5093946</v>
      </c>
      <c r="C15" s="14" t="n">
        <f aca="false">(B$5+B$7)*C$10+B$9*24*C$10</f>
        <v>31459105.6367432</v>
      </c>
      <c r="D15" s="14" t="n">
        <f aca="false">(B$5+B$7)*D$10+B$9*24*D$10</f>
        <v>40896837.3277662</v>
      </c>
      <c r="E15" s="5" t="s">
        <v>387</v>
      </c>
    </row>
    <row r="16" customFormat="false" ht="15" hidden="false" customHeight="false" outlineLevel="0" collapsed="false">
      <c r="A16" s="7" t="s">
        <v>388</v>
      </c>
      <c r="B16" s="14" t="n">
        <f aca="false">(B$5+B$7)*B$10+B$9*36*B$10</f>
        <v>29066804.5093946</v>
      </c>
      <c r="C16" s="14" t="n">
        <f aca="false">(B$5+B$7)*C$10+B$9*36*C$10</f>
        <v>36333505.6367432</v>
      </c>
      <c r="D16" s="14" t="n">
        <f aca="false">(B$5+B$7)*D$10+B$9*36*D$10</f>
        <v>47233557.3277662</v>
      </c>
      <c r="E16" s="5" t="s">
        <v>389</v>
      </c>
    </row>
    <row r="18" customFormat="false" ht="15" hidden="false" customHeight="false" outlineLevel="0" collapsed="false">
      <c r="A18" s="28" t="s">
        <v>390</v>
      </c>
    </row>
    <row r="19" customFormat="false" ht="15" hidden="false" customHeight="false" outlineLevel="0" collapsed="false">
      <c r="A19" s="6" t="s">
        <v>383</v>
      </c>
      <c r="B19" s="6" t="s">
        <v>153</v>
      </c>
      <c r="C19" s="6" t="s">
        <v>156</v>
      </c>
      <c r="D19" s="6" t="s">
        <v>157</v>
      </c>
      <c r="E19" s="6" t="s">
        <v>129</v>
      </c>
    </row>
    <row r="20" customFormat="false" ht="15" hidden="false" customHeight="false" outlineLevel="0" collapsed="false">
      <c r="A20" s="7" t="s">
        <v>384</v>
      </c>
      <c r="B20" s="14" t="n">
        <f aca="false">(B$6+B$7)*B$10+B$8*12*B$10</f>
        <v>31779136</v>
      </c>
      <c r="C20" s="14" t="n">
        <f aca="false">(B$6+B$7)*C$10+B$8*12*C$10</f>
        <v>39723920</v>
      </c>
      <c r="D20" s="14" t="n">
        <f aca="false">(B$6+B$7)*D$10+B$8*12*D$10</f>
        <v>51641096</v>
      </c>
      <c r="E20" s="5" t="s">
        <v>385</v>
      </c>
    </row>
    <row r="21" customFormat="false" ht="15" hidden="false" customHeight="false" outlineLevel="0" collapsed="false">
      <c r="A21" s="7" t="s">
        <v>386</v>
      </c>
      <c r="B21" s="14" t="n">
        <f aca="false">(B$6+B$7)*B$10+B$8*24*B$10</f>
        <v>36538432</v>
      </c>
      <c r="C21" s="14" t="n">
        <f aca="false">(B$6+B$7)*C$10+B$8*24*C$10</f>
        <v>45673040</v>
      </c>
      <c r="D21" s="14" t="n">
        <f aca="false">(B$6+B$7)*D$10+B$8*24*D$10</f>
        <v>59374952</v>
      </c>
      <c r="E21" s="5" t="s">
        <v>387</v>
      </c>
    </row>
    <row r="22" customFormat="false" ht="15" hidden="false" customHeight="false" outlineLevel="0" collapsed="false">
      <c r="A22" s="7" t="s">
        <v>388</v>
      </c>
      <c r="B22" s="14" t="n">
        <f aca="false">(B$6+B$7)*B$10+B$8*36*B$10</f>
        <v>41297728</v>
      </c>
      <c r="C22" s="14" t="n">
        <f aca="false">(B$6+B$7)*C$10+B$8*36*C$10</f>
        <v>51622160</v>
      </c>
      <c r="D22" s="14" t="n">
        <f aca="false">(B$6+B$7)*D$10+B$8*36*D$10</f>
        <v>67108808</v>
      </c>
      <c r="E22" s="5" t="s">
        <v>389</v>
      </c>
    </row>
    <row r="24" customFormat="false" ht="15" hidden="false" customHeight="false" outlineLevel="0" collapsed="false">
      <c r="A24" s="28" t="s">
        <v>391</v>
      </c>
    </row>
    <row r="25" customFormat="false" ht="26.85" hidden="false" customHeight="false" outlineLevel="0" collapsed="false">
      <c r="A25" s="6" t="s">
        <v>392</v>
      </c>
      <c r="B25" s="6" t="s">
        <v>393</v>
      </c>
      <c r="C25" s="6" t="s">
        <v>394</v>
      </c>
      <c r="D25" s="6" t="s">
        <v>395</v>
      </c>
      <c r="E25" s="6" t="s">
        <v>129</v>
      </c>
    </row>
    <row r="26" customFormat="false" ht="15" hidden="false" customHeight="false" outlineLevel="0" collapsed="false">
      <c r="A26" s="7" t="s">
        <v>396</v>
      </c>
      <c r="B26" s="21" t="n">
        <f aca="false">Build_Summary!$E$5+Build_Summary!$E$6+Build_Summary!$E$11*IF(SUM(Build_Summary!$B$5:$B$10)=0,0,(Build_Summary!$B$5+Build_Summary!$B$6)/SUM(Build_Summary!$B$5:$B$10))+B$7</f>
        <v>21710305.6367432</v>
      </c>
      <c r="C26" s="14" t="n">
        <f aca="false">B$9*12</f>
        <v>4874400</v>
      </c>
      <c r="D26" s="14" t="n">
        <f aca="false">B26+C26</f>
        <v>26584705.6367432</v>
      </c>
      <c r="E26" s="5" t="s">
        <v>397</v>
      </c>
    </row>
    <row r="27" customFormat="false" ht="15" hidden="false" customHeight="false" outlineLevel="0" collapsed="false">
      <c r="A27" s="7" t="s">
        <v>398</v>
      </c>
      <c r="B27" s="21" t="n">
        <f aca="false">Build_Summary!$E$7+Build_Summary!$E$8+Build_Summary!$E$11*IF(SUM(Build_Summary!$B$5:$B$10)=0,0,(Build_Summary!$B$7+Build_Summary!$B$8)/SUM(Build_Summary!$B$5:$B$10))</f>
        <v>8602211.27348643</v>
      </c>
      <c r="C27" s="14" t="n">
        <f aca="false">B$9*12</f>
        <v>4874400</v>
      </c>
      <c r="D27" s="14" t="n">
        <f aca="false">D26+B27+C27</f>
        <v>40061316.9102296</v>
      </c>
      <c r="E27" s="5" t="s">
        <v>399</v>
      </c>
    </row>
    <row r="28" customFormat="false" ht="15" hidden="false" customHeight="false" outlineLevel="0" collapsed="false">
      <c r="A28" s="7" t="s">
        <v>400</v>
      </c>
      <c r="B28" s="21" t="n">
        <f aca="false">Build_Summary!$E$9+Build_Summary!$E$10+Build_Summary!$E$11*IF(SUM(Build_Summary!$B$5:$B$10)=0,0,(Build_Summary!$B$9+Build_Summary!$B$10)/SUM(Build_Summary!$B$5:$B$10))</f>
        <v>3462283.08977036</v>
      </c>
      <c r="C28" s="14" t="n">
        <f aca="false">B$8*12</f>
        <v>5949120</v>
      </c>
      <c r="D28" s="14" t="n">
        <f aca="false">D27+B28+C28</f>
        <v>49472720</v>
      </c>
      <c r="E28" s="5" t="s">
        <v>401</v>
      </c>
    </row>
    <row r="29" customFormat="false" ht="35.05" hidden="false" customHeight="false" outlineLevel="0" collapsed="false">
      <c r="A29" s="35" t="s">
        <v>402</v>
      </c>
      <c r="B29" s="14" t="n">
        <f aca="false">SUM(B26:B28)</f>
        <v>33774800</v>
      </c>
      <c r="E29" s="28" t="str">
        <f aca="false">IF(ABS(B29-(B6+B7))&lt;1,"OK — reconciles","CHECK")</f>
        <v>OK — reconciles</v>
      </c>
    </row>
    <row r="30" customFormat="false" ht="15" hidden="false" customHeight="false" outlineLevel="0" collapsed="false">
      <c r="A30" s="7" t="s">
        <v>403</v>
      </c>
      <c r="B30" s="14" t="n">
        <f aca="false">D28*B$10</f>
        <v>39578176</v>
      </c>
      <c r="C30" s="14" t="n">
        <f aca="false">D28*C$10</f>
        <v>49472720</v>
      </c>
      <c r="D30" s="14" t="n">
        <f aca="false">D28*D$10</f>
        <v>64314536</v>
      </c>
    </row>
    <row r="32" customFormat="false" ht="15" hidden="false" customHeight="false" outlineLevel="0" collapsed="false">
      <c r="A32" s="28" t="s">
        <v>404</v>
      </c>
    </row>
    <row r="33" customFormat="false" ht="26.85" hidden="false" customHeight="false" outlineLevel="0" collapsed="false">
      <c r="A33" s="6" t="s">
        <v>383</v>
      </c>
      <c r="B33" s="6" t="s">
        <v>405</v>
      </c>
      <c r="C33" s="6" t="s">
        <v>406</v>
      </c>
      <c r="D33" s="6" t="s">
        <v>407</v>
      </c>
      <c r="E33" s="6" t="s">
        <v>17</v>
      </c>
    </row>
    <row r="34" customFormat="false" ht="15" hidden="false" customHeight="false" outlineLevel="0" collapsed="false">
      <c r="A34" s="7" t="s">
        <v>408</v>
      </c>
      <c r="B34" s="21" t="n">
        <f aca="false">Accounting_Boundary!$C$22</f>
        <v>0</v>
      </c>
      <c r="C34" s="21" t="n">
        <f aca="false">MIN(Accounting_Boundary!$C$31*12,B34)</f>
        <v>0</v>
      </c>
      <c r="D34" s="14" t="n">
        <f aca="false">B34-C34</f>
        <v>0</v>
      </c>
      <c r="E34" s="5" t="s">
        <v>409</v>
      </c>
    </row>
    <row r="35" customFormat="false" ht="15" hidden="false" customHeight="false" outlineLevel="0" collapsed="false">
      <c r="A35" s="7" t="s">
        <v>410</v>
      </c>
      <c r="B35" s="21" t="n">
        <f aca="false">Accounting_Boundary!$C$22</f>
        <v>0</v>
      </c>
      <c r="C35" s="21" t="n">
        <f aca="false">MIN(Accounting_Boundary!$C$31*24,B35)</f>
        <v>0</v>
      </c>
      <c r="D35" s="14" t="n">
        <f aca="false">B35-C35</f>
        <v>0</v>
      </c>
      <c r="E35" s="5" t="s">
        <v>409</v>
      </c>
    </row>
    <row r="36" customFormat="false" ht="15" hidden="false" customHeight="false" outlineLevel="0" collapsed="false">
      <c r="A36" s="7" t="s">
        <v>411</v>
      </c>
      <c r="B36" s="21" t="n">
        <f aca="false">Accounting_Boundary!$C$22</f>
        <v>0</v>
      </c>
      <c r="C36" s="21" t="n">
        <f aca="false">MIN(Accounting_Boundary!$C$31*36,B36)</f>
        <v>0</v>
      </c>
      <c r="D36" s="14" t="n">
        <f aca="false">B36-C36</f>
        <v>0</v>
      </c>
      <c r="E36" s="5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412</v>
      </c>
    </row>
    <row r="2" customFormat="false" ht="15" hidden="false" customHeight="false" outlineLevel="0" collapsed="false">
      <c r="A2" s="5" t="s">
        <v>413</v>
      </c>
    </row>
    <row r="4" customFormat="false" ht="26.85" hidden="false" customHeight="false" outlineLevel="0" collapsed="false">
      <c r="A4" s="6" t="s">
        <v>169</v>
      </c>
      <c r="B4" s="6" t="s">
        <v>166</v>
      </c>
      <c r="C4" s="6" t="s">
        <v>292</v>
      </c>
      <c r="D4" s="6" t="s">
        <v>414</v>
      </c>
      <c r="E4" s="6" t="s">
        <v>415</v>
      </c>
      <c r="F4" s="6" t="s">
        <v>416</v>
      </c>
      <c r="G4" s="6" t="s">
        <v>417</v>
      </c>
    </row>
    <row r="5" customFormat="false" ht="15" hidden="false" customHeight="false" outlineLevel="0" collapsed="false">
      <c r="A5" s="7" t="s">
        <v>175</v>
      </c>
      <c r="B5" s="27" t="n">
        <f aca="false">SUMIFS(WorkPackages!$E$4:$E$39,WorkPackages!$H$4:$H$39,"Discovery")</f>
        <v>160</v>
      </c>
      <c r="C5" s="21" t="n">
        <f aca="false">SUMIFS(WorkPackages!$G$4:$G$39,WorkPackages!$H$4:$H$39,"Discovery")</f>
        <v>560000</v>
      </c>
      <c r="D5" s="37" t="n">
        <v>0</v>
      </c>
      <c r="E5" s="14" t="n">
        <f aca="false">C5*D5</f>
        <v>0</v>
      </c>
      <c r="F5" s="14" t="n">
        <f aca="false">C5-E5</f>
        <v>560000</v>
      </c>
      <c r="G5" s="5" t="s">
        <v>418</v>
      </c>
    </row>
    <row r="6" customFormat="false" ht="15" hidden="false" customHeight="false" outlineLevel="0" collapsed="false">
      <c r="A6" s="7" t="s">
        <v>179</v>
      </c>
      <c r="B6" s="27" t="n">
        <f aca="false">SUMIFS(WorkPackages!$E$4:$E$39,WorkPackages!$H$4:$H$39,"Design")</f>
        <v>240</v>
      </c>
      <c r="C6" s="21" t="n">
        <f aca="false">SUMIFS(WorkPackages!$G$4:$G$39,WorkPackages!$H$4:$H$39,"Design")</f>
        <v>480000</v>
      </c>
      <c r="D6" s="37" t="n">
        <v>0.8</v>
      </c>
      <c r="E6" s="14" t="n">
        <f aca="false">C6*D6</f>
        <v>384000</v>
      </c>
      <c r="F6" s="14" t="n">
        <f aca="false">C6-E6</f>
        <v>96000</v>
      </c>
      <c r="G6" s="5" t="s">
        <v>419</v>
      </c>
    </row>
    <row r="7" customFormat="false" ht="15" hidden="false" customHeight="false" outlineLevel="0" collapsed="false">
      <c r="A7" s="7" t="s">
        <v>22</v>
      </c>
      <c r="B7" s="27" t="n">
        <f aca="false">SUMIFS(WorkPackages!$E$4:$E$39,WorkPackages!$H$4:$H$39,"Backend")</f>
        <v>2700</v>
      </c>
      <c r="C7" s="21" t="n">
        <f aca="false">SUMIFS(WorkPackages!$G$4:$G$39,WorkPackages!$H$4:$H$39,"Backend")</f>
        <v>6732000</v>
      </c>
      <c r="D7" s="37" t="n">
        <v>0.9</v>
      </c>
      <c r="E7" s="14" t="n">
        <f aca="false">C7*D7</f>
        <v>6058800</v>
      </c>
      <c r="F7" s="14" t="n">
        <f aca="false">C7-E7</f>
        <v>673200</v>
      </c>
      <c r="G7" s="5" t="s">
        <v>420</v>
      </c>
    </row>
    <row r="8" customFormat="false" ht="15" hidden="false" customHeight="false" outlineLevel="0" collapsed="false">
      <c r="A8" s="7" t="s">
        <v>23</v>
      </c>
      <c r="B8" s="27" t="n">
        <f aca="false">SUMIFS(WorkPackages!$E$4:$E$39,WorkPackages!$H$4:$H$39,"Frontend")</f>
        <v>1260</v>
      </c>
      <c r="C8" s="21" t="n">
        <f aca="false">SUMIFS(WorkPackages!$G$4:$G$39,WorkPackages!$H$4:$H$39,"Frontend")</f>
        <v>2844000</v>
      </c>
      <c r="D8" s="37" t="n">
        <v>0.9</v>
      </c>
      <c r="E8" s="14" t="n">
        <f aca="false">C8*D8</f>
        <v>2559600</v>
      </c>
      <c r="F8" s="14" t="n">
        <f aca="false">C8-E8</f>
        <v>284400</v>
      </c>
      <c r="G8" s="5" t="s">
        <v>421</v>
      </c>
    </row>
    <row r="9" customFormat="false" ht="15" hidden="false" customHeight="false" outlineLevel="0" collapsed="false">
      <c r="A9" s="7" t="s">
        <v>194</v>
      </c>
      <c r="B9" s="27" t="n">
        <f aca="false">SUMIFS(WorkPackages!$E$4:$E$39,WorkPackages!$H$4:$H$39,"Financial engine")</f>
        <v>1700</v>
      </c>
      <c r="C9" s="21" t="n">
        <f aca="false">SUMIFS(WorkPackages!$G$4:$G$39,WorkPackages!$H$4:$H$39,"Financial engine")</f>
        <v>4376000</v>
      </c>
      <c r="D9" s="37" t="n">
        <v>0.9</v>
      </c>
      <c r="E9" s="14" t="n">
        <f aca="false">C9*D9</f>
        <v>3938400</v>
      </c>
      <c r="F9" s="14" t="n">
        <f aca="false">C9-E9</f>
        <v>437600</v>
      </c>
      <c r="G9" s="5" t="s">
        <v>422</v>
      </c>
    </row>
    <row r="10" customFormat="false" ht="15" hidden="false" customHeight="false" outlineLevel="0" collapsed="false">
      <c r="A10" s="7" t="s">
        <v>186</v>
      </c>
      <c r="B10" s="27" t="n">
        <f aca="false">SUMIFS(WorkPackages!$E$4:$E$39,WorkPackages!$H$4:$H$39,"Connector core")</f>
        <v>1580</v>
      </c>
      <c r="C10" s="21" t="n">
        <f aca="false">SUMIFS(WorkPackages!$G$4:$G$39,WorkPackages!$H$4:$H$39,"Connector core")</f>
        <v>4108000</v>
      </c>
      <c r="D10" s="37" t="n">
        <v>0.9</v>
      </c>
      <c r="E10" s="14" t="n">
        <f aca="false">C10*D10</f>
        <v>3697200</v>
      </c>
      <c r="F10" s="14" t="n">
        <f aca="false">C10-E10</f>
        <v>410800</v>
      </c>
      <c r="G10" s="5" t="s">
        <v>423</v>
      </c>
    </row>
    <row r="11" customFormat="false" ht="15" hidden="false" customHeight="false" outlineLevel="0" collapsed="false">
      <c r="A11" s="7" t="s">
        <v>235</v>
      </c>
      <c r="B11" s="27" t="n">
        <f aca="false">SUMIFS(WorkPackages!$E$4:$E$39,WorkPackages!$H$4:$H$39,"Connector extended")</f>
        <v>1120</v>
      </c>
      <c r="C11" s="21" t="n">
        <f aca="false">SUMIFS(WorkPackages!$G$4:$G$39,WorkPackages!$H$4:$H$39,"Connector extended")</f>
        <v>2840000</v>
      </c>
      <c r="D11" s="37" t="n">
        <v>0.9</v>
      </c>
      <c r="E11" s="14" t="n">
        <f aca="false">C11*D11</f>
        <v>2556000</v>
      </c>
      <c r="F11" s="14" t="n">
        <f aca="false">C11-E11</f>
        <v>284000</v>
      </c>
      <c r="G11" s="5" t="s">
        <v>424</v>
      </c>
    </row>
    <row r="12" customFormat="false" ht="15" hidden="false" customHeight="false" outlineLevel="0" collapsed="false">
      <c r="A12" s="7" t="s">
        <v>225</v>
      </c>
      <c r="B12" s="27" t="n">
        <f aca="false">SUMIFS(WorkPackages!$E$4:$E$39,WorkPackages!$H$4:$H$39,"Automation")</f>
        <v>820</v>
      </c>
      <c r="C12" s="21" t="n">
        <f aca="false">SUMIFS(WorkPackages!$G$4:$G$39,WorkPackages!$H$4:$H$39,"Automation")</f>
        <v>1968000</v>
      </c>
      <c r="D12" s="37" t="n">
        <v>0.9</v>
      </c>
      <c r="E12" s="14" t="n">
        <f aca="false">C12*D12</f>
        <v>1771200</v>
      </c>
      <c r="F12" s="14" t="n">
        <f aca="false">C12-E12</f>
        <v>196800</v>
      </c>
      <c r="G12" s="5" t="s">
        <v>425</v>
      </c>
    </row>
    <row r="13" customFormat="false" ht="15" hidden="false" customHeight="false" outlineLevel="0" collapsed="false">
      <c r="A13" s="7" t="s">
        <v>250</v>
      </c>
      <c r="B13" s="27" t="n">
        <f aca="false">SUMIFS(WorkPackages!$E$4:$E$39,WorkPackages!$H$4:$H$39,"QA-security")</f>
        <v>640</v>
      </c>
      <c r="C13" s="21" t="n">
        <f aca="false">SUMIFS(WorkPackages!$G$4:$G$39,WorkPackages!$H$4:$H$39,"QA-security")</f>
        <v>1152000</v>
      </c>
      <c r="D13" s="37" t="n">
        <v>0.5</v>
      </c>
      <c r="E13" s="14" t="n">
        <f aca="false">C13*D13</f>
        <v>576000</v>
      </c>
      <c r="F13" s="14" t="n">
        <f aca="false">C13-E13</f>
        <v>576000</v>
      </c>
      <c r="G13" s="5" t="s">
        <v>426</v>
      </c>
    </row>
    <row r="14" customFormat="false" ht="15" hidden="false" customHeight="false" outlineLevel="0" collapsed="false">
      <c r="A14" s="7" t="s">
        <v>30</v>
      </c>
      <c r="B14" s="27" t="n">
        <f aca="false">SUMIFS(WorkPackages!$E$4:$E$39,WorkPackages!$H$4:$H$39,"DevOps")</f>
        <v>320</v>
      </c>
      <c r="C14" s="21" t="n">
        <f aca="false">SUMIFS(WorkPackages!$G$4:$G$39,WorkPackages!$H$4:$H$39,"DevOps")</f>
        <v>768000</v>
      </c>
      <c r="D14" s="37" t="n">
        <v>0.6</v>
      </c>
      <c r="E14" s="14" t="n">
        <f aca="false">C14*D14</f>
        <v>460800</v>
      </c>
      <c r="F14" s="14" t="n">
        <f aca="false">C14-E14</f>
        <v>307200</v>
      </c>
      <c r="G14" s="5" t="s">
        <v>427</v>
      </c>
    </row>
    <row r="15" customFormat="false" ht="15" hidden="false" customHeight="false" outlineLevel="0" collapsed="false">
      <c r="A15" s="7" t="s">
        <v>137</v>
      </c>
      <c r="B15" s="27" t="n">
        <f aca="false">SUMIFS(WorkPackages!$E$4:$E$39,WorkPackages!$H$4:$H$39,"Migration")</f>
        <v>240</v>
      </c>
      <c r="C15" s="21" t="n">
        <f aca="false">SUMIFS(WorkPackages!$G$4:$G$39,WorkPackages!$H$4:$H$39,"Migration")</f>
        <v>576000</v>
      </c>
      <c r="D15" s="37" t="n">
        <v>0</v>
      </c>
      <c r="E15" s="14" t="n">
        <f aca="false">C15*D15</f>
        <v>0</v>
      </c>
      <c r="F15" s="14" t="n">
        <f aca="false">C15-E15</f>
        <v>576000</v>
      </c>
      <c r="G15" s="5" t="s">
        <v>428</v>
      </c>
    </row>
    <row r="16" customFormat="false" ht="15" hidden="false" customHeight="false" outlineLevel="0" collapsed="false">
      <c r="A16" s="7" t="s">
        <v>315</v>
      </c>
      <c r="B16" s="27" t="n">
        <f aca="false">SUMIFS(WorkPackages!$E$4:$E$39,WorkPackages!$H$4:$H$39,"Training")</f>
        <v>0</v>
      </c>
      <c r="C16" s="21" t="n">
        <f aca="false">SUMIFS(WorkPackages!$G$4:$G$39,WorkPackages!$H$4:$H$39,"Training")</f>
        <v>0</v>
      </c>
      <c r="D16" s="37" t="n">
        <v>0</v>
      </c>
      <c r="E16" s="14" t="n">
        <f aca="false">C16*D16</f>
        <v>0</v>
      </c>
      <c r="F16" s="14" t="n">
        <f aca="false">C16-E16</f>
        <v>0</v>
      </c>
      <c r="G16" s="5" t="s">
        <v>429</v>
      </c>
    </row>
    <row r="17" customFormat="false" ht="15" hidden="false" customHeight="false" outlineLevel="0" collapsed="false">
      <c r="A17" s="7" t="s">
        <v>259</v>
      </c>
      <c r="B17" s="27" t="n">
        <f aca="false">SUMIFS(WorkPackages!$E$4:$E$39,WorkPackages!$H$4:$H$39,"Leadership")</f>
        <v>400</v>
      </c>
      <c r="C17" s="21" t="n">
        <f aca="false">SUMIFS(WorkPackages!$G$4:$G$39,WorkPackages!$H$4:$H$39,"Leadership")</f>
        <v>1200000</v>
      </c>
      <c r="D17" s="37" t="n">
        <v>0.3</v>
      </c>
      <c r="E17" s="14" t="n">
        <f aca="false">C17*D17</f>
        <v>360000</v>
      </c>
      <c r="F17" s="14" t="n">
        <f aca="false">C17-E17</f>
        <v>840000</v>
      </c>
      <c r="G17" s="5" t="s">
        <v>430</v>
      </c>
    </row>
    <row r="18" customFormat="false" ht="15" hidden="false" customHeight="false" outlineLevel="0" collapsed="false">
      <c r="A18" s="23" t="s">
        <v>431</v>
      </c>
      <c r="B18" s="25" t="n">
        <f aca="false">SUM(B5:B17)</f>
        <v>11180</v>
      </c>
      <c r="C18" s="26" t="n">
        <f aca="false">SUM(C5:C17)</f>
        <v>27604000</v>
      </c>
      <c r="D18" s="38" t="n">
        <f aca="false">IF(C18=0,0,E18/C18)</f>
        <v>0.810099985509347</v>
      </c>
      <c r="E18" s="26" t="n">
        <f aca="false">SUM(E5:E17)</f>
        <v>22362000</v>
      </c>
      <c r="F18" s="26" t="n">
        <f aca="false">SUM(F5:F17)</f>
        <v>5242000</v>
      </c>
      <c r="G18" s="23" t="str">
        <f aca="false">IF(ABS(C18-Build_Summary!$C$12)&lt;1,"OK — reconciles to Build_Summary","CHECK")</f>
        <v>OK — reconciles to Build_Summary</v>
      </c>
    </row>
    <row r="20" customFormat="false" ht="15" hidden="false" customHeight="false" outlineLevel="0" collapsed="false">
      <c r="A20" s="28" t="s">
        <v>432</v>
      </c>
    </row>
    <row r="21" customFormat="false" ht="15" hidden="false" customHeight="false" outlineLevel="0" collapsed="false">
      <c r="A21" s="7" t="s">
        <v>159</v>
      </c>
      <c r="C21" s="39" t="n">
        <f aca="false">Assumptions!$B$95</f>
        <v>0</v>
      </c>
      <c r="G21" s="5" t="s">
        <v>433</v>
      </c>
    </row>
    <row r="22" customFormat="false" ht="15" hidden="false" customHeight="false" outlineLevel="0" collapsed="false">
      <c r="A22" s="7" t="s">
        <v>434</v>
      </c>
      <c r="C22" s="14" t="n">
        <f aca="false">E18*C21</f>
        <v>0</v>
      </c>
    </row>
    <row r="23" customFormat="false" ht="15" hidden="false" customHeight="false" outlineLevel="0" collapsed="false">
      <c r="A23" s="7" t="s">
        <v>435</v>
      </c>
      <c r="C23" s="14" t="n">
        <f aca="false">C18-C22</f>
        <v>27604000</v>
      </c>
    </row>
    <row r="24" customFormat="false" ht="15" hidden="false" customHeight="false" outlineLevel="0" collapsed="false">
      <c r="A24" s="7" t="s">
        <v>436</v>
      </c>
      <c r="C24" s="21" t="n">
        <f aca="false">Build_Summary!$D$12</f>
        <v>5520800</v>
      </c>
    </row>
    <row r="25" customFormat="false" ht="15" hidden="false" customHeight="false" outlineLevel="0" collapsed="false">
      <c r="A25" s="7" t="s">
        <v>437</v>
      </c>
      <c r="C25" s="21" t="n">
        <f aca="false">Assumptions!$B$78</f>
        <v>400000</v>
      </c>
    </row>
    <row r="26" customFormat="false" ht="15" hidden="false" customHeight="false" outlineLevel="0" collapsed="false">
      <c r="A26" s="7" t="s">
        <v>438</v>
      </c>
      <c r="C26" s="21" t="n">
        <f aca="false">Assumptions!$B$79</f>
        <v>250000</v>
      </c>
    </row>
    <row r="28" customFormat="false" ht="15" hidden="false" customHeight="false" outlineLevel="0" collapsed="false">
      <c r="A28" s="28" t="s">
        <v>439</v>
      </c>
    </row>
    <row r="29" customFormat="false" ht="15" hidden="false" customHeight="false" outlineLevel="0" collapsed="false">
      <c r="A29" s="7" t="s">
        <v>440</v>
      </c>
      <c r="C29" s="40" t="n">
        <f aca="false">Assumptions!$B$23</f>
        <v>3</v>
      </c>
    </row>
    <row r="30" customFormat="false" ht="15" hidden="false" customHeight="false" outlineLevel="0" collapsed="false">
      <c r="A30" s="7" t="s">
        <v>441</v>
      </c>
      <c r="C30" s="14" t="n">
        <f aca="false">IF(C29=0,0,C22/C29)</f>
        <v>0</v>
      </c>
    </row>
    <row r="31" customFormat="false" ht="15" hidden="false" customHeight="false" outlineLevel="0" collapsed="false">
      <c r="A31" s="7" t="s">
        <v>442</v>
      </c>
      <c r="C31" s="14" t="n">
        <f aca="false">C30/12</f>
        <v>0</v>
      </c>
    </row>
    <row r="33" customFormat="false" ht="15" hidden="false" customHeight="false" outlineLevel="0" collapsed="false">
      <c r="A33" s="28" t="s">
        <v>443</v>
      </c>
    </row>
    <row r="34" customFormat="false" ht="15" hidden="false" customHeight="false" outlineLevel="0" collapsed="false">
      <c r="A34" s="5" t="s">
        <v>444</v>
      </c>
    </row>
    <row r="35" customFormat="false" ht="15" hidden="false" customHeight="false" outlineLevel="0" collapsed="false">
      <c r="A35" s="5" t="s">
        <v>445</v>
      </c>
    </row>
    <row r="36" customFormat="false" ht="15" hidden="false" customHeight="false" outlineLevel="0" collapsed="false">
      <c r="A36" s="5" t="s">
        <v>446</v>
      </c>
    </row>
    <row r="37" customFormat="false" ht="15" hidden="false" customHeight="false" outlineLevel="0" collapsed="false">
      <c r="A37" s="5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448</v>
      </c>
    </row>
    <row r="2" customFormat="false" ht="15" hidden="false" customHeight="false" outlineLevel="0" collapsed="false">
      <c r="A2" s="5" t="s">
        <v>449</v>
      </c>
    </row>
    <row r="4" customFormat="false" ht="15" hidden="false" customHeight="false" outlineLevel="0" collapsed="false">
      <c r="A4" s="6" t="s">
        <v>450</v>
      </c>
      <c r="B4" s="6" t="s">
        <v>451</v>
      </c>
      <c r="C4" s="6" t="s">
        <v>452</v>
      </c>
      <c r="D4" s="6" t="s">
        <v>17</v>
      </c>
    </row>
    <row r="5" customFormat="false" ht="15" hidden="false" customHeight="false" outlineLevel="0" collapsed="false">
      <c r="A5" s="7" t="s">
        <v>453</v>
      </c>
      <c r="B5" s="21" t="n">
        <f aca="false">Assumptions!$B$85*Assumptions!$B$84*Assumptions!$B$22</f>
        <v>9828</v>
      </c>
      <c r="C5" s="14" t="n">
        <f aca="false">B5*12</f>
        <v>117936</v>
      </c>
      <c r="D5" s="5" t="s">
        <v>454</v>
      </c>
    </row>
    <row r="6" customFormat="false" ht="15" hidden="false" customHeight="false" outlineLevel="0" collapsed="false">
      <c r="A6" s="7" t="s">
        <v>455</v>
      </c>
      <c r="B6" s="21" t="n">
        <f aca="false">Assumptions!$B$87*Assumptions!$B$86*Assumptions!$B$22</f>
        <v>3276</v>
      </c>
      <c r="C6" s="14" t="n">
        <f aca="false">B6*12</f>
        <v>39312</v>
      </c>
      <c r="D6" s="18" t="s">
        <v>456</v>
      </c>
    </row>
    <row r="7" customFormat="false" ht="15" hidden="false" customHeight="false" outlineLevel="0" collapsed="false">
      <c r="A7" s="28" t="s">
        <v>457</v>
      </c>
      <c r="B7" s="41" t="n">
        <f aca="false">B5+B6</f>
        <v>13104</v>
      </c>
      <c r="C7" s="41" t="n">
        <f aca="false">B7*12</f>
        <v>157248</v>
      </c>
    </row>
    <row r="8" customFormat="false" ht="15" hidden="false" customHeight="false" outlineLevel="0" collapsed="false">
      <c r="A8" s="7" t="s">
        <v>458</v>
      </c>
      <c r="B8" s="21" t="n">
        <f aca="false">OpEx_Monthly!$C$24</f>
        <v>495760</v>
      </c>
      <c r="C8" s="14" t="n">
        <f aca="false">B8*12</f>
        <v>5949120</v>
      </c>
      <c r="D8" s="5" t="s">
        <v>459</v>
      </c>
    </row>
    <row r="9" customFormat="false" ht="15" hidden="false" customHeight="false" outlineLevel="0" collapsed="false">
      <c r="A9" s="7" t="s">
        <v>460</v>
      </c>
      <c r="B9" s="14" t="n">
        <f aca="false">B8-B7</f>
        <v>482656</v>
      </c>
      <c r="C9" s="14" t="n">
        <f aca="false">B9*12</f>
        <v>5791872</v>
      </c>
      <c r="D9" s="5" t="s">
        <v>461</v>
      </c>
    </row>
    <row r="10" customFormat="false" ht="15" hidden="false" customHeight="false" outlineLevel="0" collapsed="false">
      <c r="A10" s="7" t="s">
        <v>462</v>
      </c>
      <c r="B10" s="29" t="n">
        <f aca="false">IF(B8=0,0,B7/B8)</f>
        <v>0.02643214458609</v>
      </c>
    </row>
    <row r="12" customFormat="false" ht="15" hidden="false" customHeight="false" outlineLevel="0" collapsed="false">
      <c r="A12" s="28" t="s">
        <v>463</v>
      </c>
    </row>
    <row r="13" customFormat="false" ht="15" hidden="false" customHeight="false" outlineLevel="0" collapsed="false">
      <c r="A13" s="7" t="s">
        <v>464</v>
      </c>
      <c r="B13" s="42" t="n">
        <f aca="false">Assumptions!$B$83</f>
        <v>0</v>
      </c>
      <c r="D13" s="5" t="s">
        <v>465</v>
      </c>
    </row>
    <row r="14" customFormat="false" ht="15" hidden="false" customHeight="false" outlineLevel="0" collapsed="false">
      <c r="A14" s="7" t="s">
        <v>466</v>
      </c>
      <c r="B14" s="14" t="n">
        <f aca="false">B13-B9</f>
        <v>-482656</v>
      </c>
    </row>
    <row r="15" customFormat="false" ht="15" hidden="false" customHeight="false" outlineLevel="0" collapsed="false">
      <c r="A15" s="7" t="s">
        <v>467</v>
      </c>
      <c r="B15" s="43" t="str">
        <f aca="false">IF(B13&lt;=0,"N/A (benefit unproven)",IF(B14&lt;=0,"N/A (no net monthly benefit)",(Build_Summary!$E$19+Assumptions!$B$78+Assumptions!$B$79)/B14))</f>
        <v>N/A (benefit unproven)</v>
      </c>
      <c r="D15" s="5" t="s">
        <v>468</v>
      </c>
    </row>
    <row r="16" customFormat="false" ht="15" hidden="false" customHeight="false" outlineLevel="0" collapsed="false">
      <c r="A16" s="7" t="s">
        <v>469</v>
      </c>
      <c r="B16" s="43" t="str">
        <f aca="false">IF(B13&lt;=0,"N/A (benefit unproven)",IF(B14&lt;=0,"N/A (no net monthly benefit)",(Build_Summary!$E$12+Assumptions!$B$78+Assumptions!$B$79)/B14))</f>
        <v>N/A (benefit unproven)</v>
      </c>
      <c r="D16" s="5" t="s">
        <v>468</v>
      </c>
    </row>
    <row r="17" customFormat="false" ht="15" hidden="false" customHeight="false" outlineLevel="0" collapsed="false">
      <c r="A17" s="7" t="s">
        <v>470</v>
      </c>
      <c r="B17" s="14" t="n">
        <f aca="false">(Build_Summary!$E$12+Assumptions!$B$78+Assumptions!$B$79)/36+B9</f>
        <v>1420844.88888889</v>
      </c>
      <c r="D17" s="5" t="s">
        <v>471</v>
      </c>
    </row>
    <row r="19" customFormat="false" ht="15" hidden="false" customHeight="false" outlineLevel="0" collapsed="false">
      <c r="A19" s="5" t="s">
        <v>472</v>
      </c>
    </row>
    <row r="20" customFormat="false" ht="15" hidden="false" customHeight="false" outlineLevel="0" collapsed="false">
      <c r="A20" s="5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474</v>
      </c>
    </row>
    <row r="2" customFormat="false" ht="15" hidden="false" customHeight="false" outlineLevel="0" collapsed="false">
      <c r="A2" s="5" t="s">
        <v>475</v>
      </c>
    </row>
    <row r="4" customFormat="false" ht="15" hidden="false" customHeight="false" outlineLevel="0" collapsed="false">
      <c r="A4" s="7" t="s">
        <v>476</v>
      </c>
      <c r="B4" s="21" t="n">
        <f aca="false">TCO!$C$22</f>
        <v>51622160</v>
      </c>
    </row>
    <row r="5" customFormat="false" ht="15" hidden="false" customHeight="false" outlineLevel="0" collapsed="false">
      <c r="A5" s="7" t="s">
        <v>477</v>
      </c>
      <c r="B5" s="21" t="n">
        <f aca="false">Build_Summary!$E$12</f>
        <v>33124800</v>
      </c>
    </row>
    <row r="6" customFormat="false" ht="15" hidden="false" customHeight="false" outlineLevel="0" collapsed="false">
      <c r="A6" s="7" t="s">
        <v>478</v>
      </c>
      <c r="B6" s="21" t="n">
        <f aca="false">OpEx_Monthly!$C$26</f>
        <v>129000</v>
      </c>
    </row>
    <row r="7" customFormat="false" ht="15" hidden="false" customHeight="false" outlineLevel="0" collapsed="false">
      <c r="A7" s="7" t="s">
        <v>479</v>
      </c>
      <c r="B7" s="21" t="n">
        <f aca="false">OpEx_Monthly!$C$22</f>
        <v>49560</v>
      </c>
    </row>
    <row r="9" customFormat="false" ht="15" hidden="false" customHeight="false" outlineLevel="0" collapsed="false">
      <c r="A9" s="6" t="s">
        <v>480</v>
      </c>
      <c r="B9" s="6" t="s">
        <v>481</v>
      </c>
      <c r="C9" s="6" t="s">
        <v>482</v>
      </c>
      <c r="D9" s="6" t="s">
        <v>483</v>
      </c>
      <c r="E9" s="6" t="s">
        <v>484</v>
      </c>
      <c r="F9" s="6" t="s">
        <v>485</v>
      </c>
    </row>
    <row r="10" customFormat="false" ht="15" hidden="false" customHeight="false" outlineLevel="0" collapsed="false">
      <c r="A10" s="7" t="s">
        <v>486</v>
      </c>
      <c r="B10" s="19" t="n">
        <v>0.8</v>
      </c>
      <c r="C10" s="14" t="n">
        <f aca="false">$B$5*(B10-1)</f>
        <v>-6624960</v>
      </c>
      <c r="D10" s="14" t="n">
        <f aca="false">$B$4+C10</f>
        <v>44997200</v>
      </c>
      <c r="E10" s="29" t="n">
        <f aca="false">IF($B$4=0,0,C10/$B$4)</f>
        <v>-0.128335583013187</v>
      </c>
      <c r="F10" s="5" t="s">
        <v>487</v>
      </c>
    </row>
    <row r="11" customFormat="false" ht="15" hidden="false" customHeight="false" outlineLevel="0" collapsed="false">
      <c r="A11" s="7" t="s">
        <v>488</v>
      </c>
      <c r="B11" s="19" t="n">
        <v>1.2</v>
      </c>
      <c r="C11" s="14" t="n">
        <f aca="false">$B$5*(B11-1)</f>
        <v>6624960</v>
      </c>
      <c r="D11" s="14" t="n">
        <f aca="false">$B$4+C11</f>
        <v>58247120</v>
      </c>
      <c r="E11" s="29" t="n">
        <f aca="false">IF($B$4=0,0,C11/$B$4)</f>
        <v>0.128335583013187</v>
      </c>
      <c r="F11" s="5" t="s">
        <v>487</v>
      </c>
    </row>
    <row r="12" customFormat="false" ht="15" hidden="false" customHeight="false" outlineLevel="0" collapsed="false">
      <c r="A12" s="7" t="s">
        <v>489</v>
      </c>
      <c r="B12" s="19" t="n">
        <v>0.7</v>
      </c>
      <c r="C12" s="14" t="n">
        <f aca="false">$B$5*(B12-1)</f>
        <v>-9937440</v>
      </c>
      <c r="D12" s="14" t="n">
        <f aca="false">$B$4+C12</f>
        <v>41684720</v>
      </c>
      <c r="E12" s="29" t="n">
        <f aca="false">IF($B$4=0,0,C12/$B$4)</f>
        <v>-0.19250337451978</v>
      </c>
      <c r="F12" s="5" t="s">
        <v>487</v>
      </c>
    </row>
    <row r="13" customFormat="false" ht="15" hidden="false" customHeight="false" outlineLevel="0" collapsed="false">
      <c r="A13" s="7" t="s">
        <v>490</v>
      </c>
      <c r="B13" s="19" t="n">
        <v>1.3</v>
      </c>
      <c r="C13" s="14" t="n">
        <f aca="false">$B$5*(B13-1)</f>
        <v>9937440</v>
      </c>
      <c r="D13" s="14" t="n">
        <f aca="false">$B$4+C13</f>
        <v>61559600</v>
      </c>
      <c r="E13" s="29" t="n">
        <f aca="false">IF($B$4=0,0,C13/$B$4)</f>
        <v>0.19250337451978</v>
      </c>
      <c r="F13" s="5" t="s">
        <v>487</v>
      </c>
    </row>
    <row r="14" customFormat="false" ht="15" hidden="false" customHeight="false" outlineLevel="0" collapsed="false">
      <c r="A14" s="7" t="s">
        <v>491</v>
      </c>
      <c r="B14" s="19" t="n">
        <v>0.6</v>
      </c>
      <c r="C14" s="14" t="n">
        <f aca="false">$B$6*36*(B14-1)</f>
        <v>-1857600</v>
      </c>
      <c r="D14" s="14" t="n">
        <f aca="false">$B$4+C14</f>
        <v>49764560</v>
      </c>
      <c r="E14" s="29" t="n">
        <f aca="false">IF($B$4=0,0,C14/$B$4)</f>
        <v>-0.0359845461716441</v>
      </c>
      <c r="F14" s="5" t="s">
        <v>492</v>
      </c>
    </row>
    <row r="15" customFormat="false" ht="15" hidden="false" customHeight="false" outlineLevel="0" collapsed="false">
      <c r="A15" s="7" t="s">
        <v>493</v>
      </c>
      <c r="B15" s="19" t="n">
        <v>1.4</v>
      </c>
      <c r="C15" s="14" t="n">
        <f aca="false">$B$6*36*(B15-1)</f>
        <v>1857600</v>
      </c>
      <c r="D15" s="14" t="n">
        <f aca="false">$B$4+C15</f>
        <v>53479760</v>
      </c>
      <c r="E15" s="29" t="n">
        <f aca="false">IF($B$4=0,0,C15/$B$4)</f>
        <v>0.0359845461716441</v>
      </c>
      <c r="F15" s="5" t="s">
        <v>492</v>
      </c>
    </row>
    <row r="16" customFormat="false" ht="15" hidden="false" customHeight="false" outlineLevel="0" collapsed="false">
      <c r="A16" s="7" t="s">
        <v>494</v>
      </c>
      <c r="B16" s="19" t="n">
        <v>0.5</v>
      </c>
      <c r="C16" s="14" t="n">
        <f aca="false">$B$7*36*(B16-1)</f>
        <v>-892080</v>
      </c>
      <c r="D16" s="14" t="n">
        <f aca="false">$B$4+C16</f>
        <v>50730080</v>
      </c>
      <c r="E16" s="29" t="n">
        <f aca="false">IF($B$4=0,0,C16/$B$4)</f>
        <v>-0.0172809506614989</v>
      </c>
      <c r="F16" s="5" t="s">
        <v>495</v>
      </c>
    </row>
    <row r="17" customFormat="false" ht="15" hidden="false" customHeight="false" outlineLevel="0" collapsed="false">
      <c r="A17" s="7" t="s">
        <v>496</v>
      </c>
      <c r="B17" s="19" t="n">
        <v>3</v>
      </c>
      <c r="C17" s="14" t="n">
        <f aca="false">$B$7*36*(B17-1)</f>
        <v>3568320</v>
      </c>
      <c r="D17" s="14" t="n">
        <f aca="false">$B$4+C17</f>
        <v>55190480</v>
      </c>
      <c r="E17" s="29" t="n">
        <f aca="false">IF($B$4=0,0,C17/$B$4)</f>
        <v>0.0691238026459954</v>
      </c>
      <c r="F17" s="5" t="s">
        <v>495</v>
      </c>
    </row>
    <row r="18" customFormat="false" ht="15" hidden="false" customHeight="false" outlineLevel="0" collapsed="false">
      <c r="A18" s="28" t="s">
        <v>497</v>
      </c>
      <c r="C18" s="41" t="n">
        <f aca="false">$B$5*(B11*B13-1)+$B$6*36*(B15-1)+$B$7*36*(B17-1)</f>
        <v>23975808</v>
      </c>
      <c r="D18" s="41" t="n">
        <f aca="false">$B$4+C18</f>
        <v>75597968</v>
      </c>
      <c r="E18" s="44" t="n">
        <f aca="false">IF($B$4=0,0,C18/$B$4)</f>
        <v>0.464447981254562</v>
      </c>
      <c r="F18" s="5" t="s">
        <v>498</v>
      </c>
    </row>
    <row r="19" customFormat="false" ht="15" hidden="false" customHeight="false" outlineLevel="0" collapsed="false">
      <c r="A19" s="5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5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500</v>
      </c>
    </row>
    <row r="2" customFormat="false" ht="15" hidden="false" customHeight="false" outlineLevel="0" collapsed="false">
      <c r="A2" s="5" t="s">
        <v>501</v>
      </c>
    </row>
    <row r="3" customFormat="false" ht="26.85" hidden="false" customHeight="false" outlineLevel="0" collapsed="false">
      <c r="A3" s="6" t="s">
        <v>162</v>
      </c>
      <c r="B3" s="6" t="s">
        <v>163</v>
      </c>
      <c r="C3" s="6" t="s">
        <v>164</v>
      </c>
      <c r="D3" s="6" t="s">
        <v>502</v>
      </c>
      <c r="E3" s="6" t="s">
        <v>166</v>
      </c>
      <c r="F3" s="6" t="s">
        <v>503</v>
      </c>
      <c r="G3" s="6" t="s">
        <v>504</v>
      </c>
      <c r="H3" s="6" t="s">
        <v>168</v>
      </c>
    </row>
    <row r="4" customFormat="false" ht="15" hidden="false" customHeight="false" outlineLevel="0" collapsed="false">
      <c r="A4" s="7" t="s">
        <v>172</v>
      </c>
      <c r="B4" s="7" t="s">
        <v>173</v>
      </c>
      <c r="C4" s="22" t="str">
        <f aca="false">INDEX(WorkPackages!$C$4:$C$39,MATCH(A4,WorkPackages!$A$4:$A$39,0))</f>
        <v>R0</v>
      </c>
      <c r="D4" s="13" t="n">
        <f aca="false">COUNTIF(Features_Ref!$H$4:$H$175,A4)</f>
        <v>0</v>
      </c>
      <c r="E4" s="27" t="n">
        <f aca="false">INDEX(WorkPackages!$E$4:$E$39,MATCH(A4,WorkPackages!$A$4:$A$39,0))</f>
        <v>160</v>
      </c>
      <c r="F4" s="2" t="s">
        <v>176</v>
      </c>
      <c r="G4" s="2" t="s">
        <v>176</v>
      </c>
      <c r="H4" s="21" t="n">
        <f aca="false">INDEX(WorkPackages!$G$4:$G$39,MATCH(A4,WorkPackages!$A$4:$A$39,0))</f>
        <v>560000</v>
      </c>
    </row>
    <row r="5" customFormat="false" ht="15" hidden="false" customHeight="false" outlineLevel="0" collapsed="false">
      <c r="A5" s="7" t="s">
        <v>177</v>
      </c>
      <c r="B5" s="7" t="s">
        <v>178</v>
      </c>
      <c r="C5" s="22" t="str">
        <f aca="false">INDEX(WorkPackages!$C$4:$C$39,MATCH(A5,WorkPackages!$A$4:$A$39,0))</f>
        <v>R0</v>
      </c>
      <c r="D5" s="13" t="n">
        <f aca="false">COUNTIF(Features_Ref!$H$4:$H$175,A5)</f>
        <v>0</v>
      </c>
      <c r="E5" s="27" t="n">
        <f aca="false">INDEX(WorkPackages!$E$4:$E$39,MATCH(A5,WorkPackages!$A$4:$A$39,0))</f>
        <v>240</v>
      </c>
      <c r="F5" s="2" t="s">
        <v>176</v>
      </c>
      <c r="G5" s="2" t="s">
        <v>176</v>
      </c>
      <c r="H5" s="21" t="n">
        <f aca="false">INDEX(WorkPackages!$G$4:$G$39,MATCH(A5,WorkPackages!$A$4:$A$39,0))</f>
        <v>480000</v>
      </c>
    </row>
    <row r="6" customFormat="false" ht="15" hidden="false" customHeight="false" outlineLevel="0" collapsed="false">
      <c r="A6" s="7" t="s">
        <v>180</v>
      </c>
      <c r="B6" s="7" t="s">
        <v>181</v>
      </c>
      <c r="C6" s="22" t="str">
        <f aca="false">INDEX(WorkPackages!$C$4:$C$39,MATCH(A6,WorkPackages!$A$4:$A$39,0))</f>
        <v>R0</v>
      </c>
      <c r="D6" s="13" t="n">
        <f aca="false">COUNTIF(Features_Ref!$H$4:$H$175,A6)</f>
        <v>4</v>
      </c>
      <c r="E6" s="27" t="n">
        <f aca="false">INDEX(WorkPackages!$E$4:$E$39,MATCH(A6,WorkPackages!$A$4:$A$39,0))</f>
        <v>420</v>
      </c>
      <c r="F6" s="2" t="s">
        <v>176</v>
      </c>
      <c r="G6" s="2" t="s">
        <v>176</v>
      </c>
      <c r="H6" s="21" t="n">
        <f aca="false">INDEX(WorkPackages!$G$4:$G$39,MATCH(A6,WorkPackages!$A$4:$A$39,0))</f>
        <v>1260000</v>
      </c>
    </row>
    <row r="7" customFormat="false" ht="15" hidden="false" customHeight="false" outlineLevel="0" collapsed="false">
      <c r="A7" s="7" t="s">
        <v>182</v>
      </c>
      <c r="B7" s="7" t="s">
        <v>183</v>
      </c>
      <c r="C7" s="22" t="str">
        <f aca="false">INDEX(WorkPackages!$C$4:$C$39,MATCH(A7,WorkPackages!$A$4:$A$39,0))</f>
        <v>R0</v>
      </c>
      <c r="D7" s="13" t="n">
        <f aca="false">COUNTIF(Features_Ref!$H$4:$H$175,A7)</f>
        <v>3</v>
      </c>
      <c r="E7" s="27" t="n">
        <f aca="false">INDEX(WorkPackages!$E$4:$E$39,MATCH(A7,WorkPackages!$A$4:$A$39,0))</f>
        <v>220</v>
      </c>
      <c r="F7" s="2" t="s">
        <v>505</v>
      </c>
      <c r="G7" s="2" t="s">
        <v>176</v>
      </c>
      <c r="H7" s="21" t="n">
        <f aca="false">INDEX(WorkPackages!$G$4:$G$39,MATCH(A7,WorkPackages!$A$4:$A$39,0))</f>
        <v>528000</v>
      </c>
    </row>
    <row r="8" customFormat="false" ht="15" hidden="false" customHeight="false" outlineLevel="0" collapsed="false">
      <c r="A8" s="7" t="s">
        <v>184</v>
      </c>
      <c r="B8" s="7" t="s">
        <v>185</v>
      </c>
      <c r="C8" s="22" t="str">
        <f aca="false">INDEX(WorkPackages!$C$4:$C$39,MATCH(A8,WorkPackages!$A$4:$A$39,0))</f>
        <v>R0</v>
      </c>
      <c r="D8" s="13" t="n">
        <f aca="false">COUNTIF(Features_Ref!$H$4:$H$175,A8)</f>
        <v>1</v>
      </c>
      <c r="E8" s="27" t="n">
        <f aca="false">INDEX(WorkPackages!$E$4:$E$39,MATCH(A8,WorkPackages!$A$4:$A$39,0))</f>
        <v>480</v>
      </c>
      <c r="F8" s="2" t="s">
        <v>176</v>
      </c>
      <c r="G8" s="2" t="s">
        <v>506</v>
      </c>
      <c r="H8" s="21" t="n">
        <f aca="false">INDEX(WorkPackages!$G$4:$G$39,MATCH(A8,WorkPackages!$A$4:$A$39,0))</f>
        <v>1248000</v>
      </c>
    </row>
    <row r="9" customFormat="false" ht="15" hidden="false" customHeight="false" outlineLevel="0" collapsed="false">
      <c r="A9" s="7" t="s">
        <v>188</v>
      </c>
      <c r="B9" s="7" t="s">
        <v>189</v>
      </c>
      <c r="C9" s="22" t="str">
        <f aca="false">INDEX(WorkPackages!$C$4:$C$39,MATCH(A9,WorkPackages!$A$4:$A$39,0))</f>
        <v>R0</v>
      </c>
      <c r="D9" s="13" t="n">
        <f aca="false">COUNTIF(Features_Ref!$H$4:$H$175,A9)</f>
        <v>2</v>
      </c>
      <c r="E9" s="27" t="n">
        <f aca="false">INDEX(WorkPackages!$E$4:$E$39,MATCH(A9,WorkPackages!$A$4:$A$39,0))</f>
        <v>320</v>
      </c>
      <c r="F9" s="2" t="s">
        <v>176</v>
      </c>
      <c r="G9" s="2" t="s">
        <v>176</v>
      </c>
      <c r="H9" s="21" t="n">
        <f aca="false">INDEX(WorkPackages!$G$4:$G$39,MATCH(A9,WorkPackages!$A$4:$A$39,0))</f>
        <v>768000</v>
      </c>
    </row>
    <row r="10" customFormat="false" ht="52.2" hidden="false" customHeight="false" outlineLevel="0" collapsed="false">
      <c r="A10" s="7" t="s">
        <v>191</v>
      </c>
      <c r="B10" s="7" t="s">
        <v>192</v>
      </c>
      <c r="C10" s="22" t="str">
        <f aca="false">INDEX(WorkPackages!$C$4:$C$39,MATCH(A10,WorkPackages!$A$4:$A$39,0))</f>
        <v>R1</v>
      </c>
      <c r="D10" s="13" t="n">
        <f aca="false">COUNTIF(Features_Ref!$H$4:$H$175,A10)</f>
        <v>10</v>
      </c>
      <c r="E10" s="27" t="n">
        <f aca="false">INDEX(WorkPackages!$E$4:$E$39,MATCH(A10,WorkPackages!$A$4:$A$39,0))</f>
        <v>520</v>
      </c>
      <c r="F10" s="2" t="s">
        <v>507</v>
      </c>
      <c r="G10" s="2" t="s">
        <v>506</v>
      </c>
      <c r="H10" s="21" t="n">
        <f aca="false">INDEX(WorkPackages!$G$4:$G$39,MATCH(A10,WorkPackages!$A$4:$A$39,0))</f>
        <v>1352000</v>
      </c>
    </row>
    <row r="11" customFormat="false" ht="102.95" hidden="false" customHeight="false" outlineLevel="0" collapsed="false">
      <c r="A11" s="7" t="s">
        <v>196</v>
      </c>
      <c r="B11" s="7" t="s">
        <v>197</v>
      </c>
      <c r="C11" s="22" t="str">
        <f aca="false">INDEX(WorkPackages!$C$4:$C$39,MATCH(A11,WorkPackages!$A$4:$A$39,0))</f>
        <v>R1</v>
      </c>
      <c r="D11" s="13" t="n">
        <f aca="false">COUNTIF(Features_Ref!$H$4:$H$175,A11)</f>
        <v>18</v>
      </c>
      <c r="E11" s="27" t="n">
        <f aca="false">INDEX(WorkPackages!$E$4:$E$39,MATCH(A11,WorkPackages!$A$4:$A$39,0))</f>
        <v>480</v>
      </c>
      <c r="F11" s="2" t="s">
        <v>508</v>
      </c>
      <c r="G11" s="2" t="s">
        <v>506</v>
      </c>
      <c r="H11" s="21" t="n">
        <f aca="false">INDEX(WorkPackages!$G$4:$G$39,MATCH(A11,WorkPackages!$A$4:$A$39,0))</f>
        <v>1056000</v>
      </c>
    </row>
    <row r="12" customFormat="false" ht="26.85" hidden="false" customHeight="false" outlineLevel="0" collapsed="false">
      <c r="A12" s="7" t="s">
        <v>199</v>
      </c>
      <c r="B12" s="7" t="s">
        <v>200</v>
      </c>
      <c r="C12" s="22" t="str">
        <f aca="false">INDEX(WorkPackages!$C$4:$C$39,MATCH(A12,WorkPackages!$A$4:$A$39,0))</f>
        <v>R1</v>
      </c>
      <c r="D12" s="13" t="n">
        <f aca="false">COUNTIF(Features_Ref!$H$4:$H$175,A12)</f>
        <v>8</v>
      </c>
      <c r="E12" s="27" t="n">
        <f aca="false">INDEX(WorkPackages!$E$4:$E$39,MATCH(A12,WorkPackages!$A$4:$A$39,0))</f>
        <v>360</v>
      </c>
      <c r="F12" s="2" t="s">
        <v>509</v>
      </c>
      <c r="G12" s="2" t="s">
        <v>510</v>
      </c>
      <c r="H12" s="21" t="n">
        <f aca="false">INDEX(WorkPackages!$G$4:$G$39,MATCH(A12,WorkPackages!$A$4:$A$39,0))</f>
        <v>864000</v>
      </c>
    </row>
    <row r="13" customFormat="false" ht="15" hidden="false" customHeight="false" outlineLevel="0" collapsed="false">
      <c r="A13" s="7" t="s">
        <v>201</v>
      </c>
      <c r="B13" s="7" t="s">
        <v>202</v>
      </c>
      <c r="C13" s="22" t="str">
        <f aca="false">INDEX(WorkPackages!$C$4:$C$39,MATCH(A13,WorkPackages!$A$4:$A$39,0))</f>
        <v>R1</v>
      </c>
      <c r="D13" s="13" t="n">
        <f aca="false">COUNTIF(Features_Ref!$H$4:$H$175,A13)</f>
        <v>2</v>
      </c>
      <c r="E13" s="27" t="n">
        <f aca="false">INDEX(WorkPackages!$E$4:$E$39,MATCH(A13,WorkPackages!$A$4:$A$39,0))</f>
        <v>220</v>
      </c>
      <c r="F13" s="2" t="s">
        <v>511</v>
      </c>
      <c r="G13" s="2" t="s">
        <v>176</v>
      </c>
      <c r="H13" s="21" t="n">
        <f aca="false">INDEX(WorkPackages!$G$4:$G$39,MATCH(A13,WorkPackages!$A$4:$A$39,0))</f>
        <v>528000</v>
      </c>
    </row>
    <row r="14" customFormat="false" ht="15" hidden="false" customHeight="false" outlineLevel="0" collapsed="false">
      <c r="A14" s="7" t="s">
        <v>203</v>
      </c>
      <c r="B14" s="7" t="s">
        <v>204</v>
      </c>
      <c r="C14" s="22" t="str">
        <f aca="false">INDEX(WorkPackages!$C$4:$C$39,MATCH(A14,WorkPackages!$A$4:$A$39,0))</f>
        <v>R1</v>
      </c>
      <c r="D14" s="13" t="n">
        <f aca="false">COUNTIF(Features_Ref!$H$4:$H$175,A14)</f>
        <v>4</v>
      </c>
      <c r="E14" s="27" t="n">
        <f aca="false">INDEX(WorkPackages!$E$4:$E$39,MATCH(A14,WorkPackages!$A$4:$A$39,0))</f>
        <v>260</v>
      </c>
      <c r="F14" s="2" t="s">
        <v>512</v>
      </c>
      <c r="G14" s="2" t="s">
        <v>176</v>
      </c>
      <c r="H14" s="21" t="n">
        <f aca="false">INDEX(WorkPackages!$G$4:$G$39,MATCH(A14,WorkPackages!$A$4:$A$39,0))</f>
        <v>624000</v>
      </c>
    </row>
    <row r="15" customFormat="false" ht="15" hidden="false" customHeight="false" outlineLevel="0" collapsed="false">
      <c r="A15" s="7" t="s">
        <v>206</v>
      </c>
      <c r="B15" s="7" t="s">
        <v>207</v>
      </c>
      <c r="C15" s="22" t="str">
        <f aca="false">INDEX(WorkPackages!$C$4:$C$39,MATCH(A15,WorkPackages!$A$4:$A$39,0))</f>
        <v>R1</v>
      </c>
      <c r="D15" s="13" t="n">
        <f aca="false">COUNTIF(Features_Ref!$H$4:$H$175,A15)</f>
        <v>2</v>
      </c>
      <c r="E15" s="27" t="n">
        <f aca="false">INDEX(WorkPackages!$E$4:$E$39,MATCH(A15,WorkPackages!$A$4:$A$39,0))</f>
        <v>400</v>
      </c>
      <c r="F15" s="2" t="s">
        <v>176</v>
      </c>
      <c r="G15" s="2" t="s">
        <v>513</v>
      </c>
      <c r="H15" s="21" t="n">
        <f aca="false">INDEX(WorkPackages!$G$4:$G$39,MATCH(A15,WorkPackages!$A$4:$A$39,0))</f>
        <v>1040000</v>
      </c>
    </row>
    <row r="16" customFormat="false" ht="26.85" hidden="false" customHeight="false" outlineLevel="0" collapsed="false">
      <c r="A16" s="7" t="s">
        <v>209</v>
      </c>
      <c r="B16" s="7" t="s">
        <v>210</v>
      </c>
      <c r="C16" s="22" t="str">
        <f aca="false">INDEX(WorkPackages!$C$4:$C$39,MATCH(A16,WorkPackages!$A$4:$A$39,0))</f>
        <v>R1</v>
      </c>
      <c r="D16" s="13" t="n">
        <f aca="false">COUNTIF(Features_Ref!$H$4:$H$175,A16)</f>
        <v>6</v>
      </c>
      <c r="E16" s="27" t="n">
        <f aca="false">INDEX(WorkPackages!$E$4:$E$39,MATCH(A16,WorkPackages!$A$4:$A$39,0))</f>
        <v>280</v>
      </c>
      <c r="F16" s="2" t="s">
        <v>514</v>
      </c>
      <c r="G16" s="2" t="s">
        <v>515</v>
      </c>
      <c r="H16" s="21" t="n">
        <f aca="false">INDEX(WorkPackages!$G$4:$G$39,MATCH(A16,WorkPackages!$A$4:$A$39,0))</f>
        <v>728000</v>
      </c>
    </row>
    <row r="17" customFormat="false" ht="26.85" hidden="false" customHeight="false" outlineLevel="0" collapsed="false">
      <c r="A17" s="7" t="s">
        <v>212</v>
      </c>
      <c r="B17" s="7" t="s">
        <v>213</v>
      </c>
      <c r="C17" s="22" t="str">
        <f aca="false">INDEX(WorkPackages!$C$4:$C$39,MATCH(A17,WorkPackages!$A$4:$A$39,0))</f>
        <v>R2</v>
      </c>
      <c r="D17" s="13" t="n">
        <f aca="false">COUNTIF(Features_Ref!$H$4:$H$175,A17)</f>
        <v>5</v>
      </c>
      <c r="E17" s="27" t="n">
        <f aca="false">INDEX(WorkPackages!$E$4:$E$39,MATCH(A17,WorkPackages!$A$4:$A$39,0))</f>
        <v>220</v>
      </c>
      <c r="F17" s="2" t="s">
        <v>516</v>
      </c>
      <c r="G17" s="2" t="s">
        <v>517</v>
      </c>
      <c r="H17" s="21" t="n">
        <f aca="false">INDEX(WorkPackages!$G$4:$G$39,MATCH(A17,WorkPackages!$A$4:$A$39,0))</f>
        <v>528000</v>
      </c>
    </row>
    <row r="18" customFormat="false" ht="39.55" hidden="false" customHeight="false" outlineLevel="0" collapsed="false">
      <c r="A18" s="7" t="s">
        <v>216</v>
      </c>
      <c r="B18" s="7" t="s">
        <v>217</v>
      </c>
      <c r="C18" s="22" t="str">
        <f aca="false">INDEX(WorkPackages!$C$4:$C$39,MATCH(A18,WorkPackages!$A$4:$A$39,0))</f>
        <v>R3</v>
      </c>
      <c r="D18" s="13" t="n">
        <f aca="false">COUNTIF(Features_Ref!$H$4:$H$175,A18)</f>
        <v>11</v>
      </c>
      <c r="E18" s="27" t="n">
        <f aca="false">INDEX(WorkPackages!$E$4:$E$39,MATCH(A18,WorkPackages!$A$4:$A$39,0))</f>
        <v>480</v>
      </c>
      <c r="F18" s="2" t="s">
        <v>518</v>
      </c>
      <c r="G18" s="2" t="s">
        <v>519</v>
      </c>
      <c r="H18" s="21" t="n">
        <f aca="false">INDEX(WorkPackages!$G$4:$G$39,MATCH(A18,WorkPackages!$A$4:$A$39,0))</f>
        <v>1152000</v>
      </c>
    </row>
    <row r="19" customFormat="false" ht="26.85" hidden="false" customHeight="false" outlineLevel="0" collapsed="false">
      <c r="A19" s="7" t="s">
        <v>220</v>
      </c>
      <c r="B19" s="7" t="s">
        <v>221</v>
      </c>
      <c r="C19" s="22" t="str">
        <f aca="false">INDEX(WorkPackages!$C$4:$C$39,MATCH(A19,WorkPackages!$A$4:$A$39,0))</f>
        <v>R3</v>
      </c>
      <c r="D19" s="13" t="n">
        <f aca="false">COUNTIF(Features_Ref!$H$4:$H$175,A19)</f>
        <v>5</v>
      </c>
      <c r="E19" s="27" t="n">
        <f aca="false">INDEX(WorkPackages!$E$4:$E$39,MATCH(A19,WorkPackages!$A$4:$A$39,0))</f>
        <v>260</v>
      </c>
      <c r="F19" s="2" t="s">
        <v>520</v>
      </c>
      <c r="G19" s="2" t="s">
        <v>506</v>
      </c>
      <c r="H19" s="21" t="n">
        <f aca="false">INDEX(WorkPackages!$G$4:$G$39,MATCH(A19,WorkPackages!$A$4:$A$39,0))</f>
        <v>624000</v>
      </c>
    </row>
    <row r="20" customFormat="false" ht="15" hidden="false" customHeight="false" outlineLevel="0" collapsed="false">
      <c r="A20" s="7" t="s">
        <v>223</v>
      </c>
      <c r="B20" s="7" t="s">
        <v>224</v>
      </c>
      <c r="C20" s="22" t="str">
        <f aca="false">INDEX(WorkPackages!$C$4:$C$39,MATCH(A20,WorkPackages!$A$4:$A$39,0))</f>
        <v>R3</v>
      </c>
      <c r="D20" s="13" t="n">
        <f aca="false">COUNTIF(Features_Ref!$H$4:$H$175,A20)</f>
        <v>3</v>
      </c>
      <c r="E20" s="27" t="n">
        <f aca="false">INDEX(WorkPackages!$E$4:$E$39,MATCH(A20,WorkPackages!$A$4:$A$39,0))</f>
        <v>240</v>
      </c>
      <c r="F20" s="2" t="s">
        <v>521</v>
      </c>
      <c r="G20" s="2" t="s">
        <v>506</v>
      </c>
      <c r="H20" s="21" t="n">
        <f aca="false">INDEX(WorkPackages!$G$4:$G$39,MATCH(A20,WorkPackages!$A$4:$A$39,0))</f>
        <v>576000</v>
      </c>
    </row>
    <row r="21" customFormat="false" ht="15" hidden="false" customHeight="false" outlineLevel="0" collapsed="false">
      <c r="A21" s="7" t="s">
        <v>226</v>
      </c>
      <c r="B21" s="7" t="s">
        <v>227</v>
      </c>
      <c r="C21" s="22" t="str">
        <f aca="false">INDEX(WorkPackages!$C$4:$C$39,MATCH(A21,WorkPackages!$A$4:$A$39,0))</f>
        <v>R3</v>
      </c>
      <c r="D21" s="13" t="n">
        <f aca="false">COUNTIF(Features_Ref!$H$4:$H$175,A21)</f>
        <v>2</v>
      </c>
      <c r="E21" s="27" t="n">
        <f aca="false">INDEX(WorkPackages!$E$4:$E$39,MATCH(A21,WorkPackages!$A$4:$A$39,0))</f>
        <v>280</v>
      </c>
      <c r="F21" s="2" t="s">
        <v>522</v>
      </c>
      <c r="G21" s="2" t="s">
        <v>176</v>
      </c>
      <c r="H21" s="21" t="n">
        <f aca="false">INDEX(WorkPackages!$G$4:$G$39,MATCH(A21,WorkPackages!$A$4:$A$39,0))</f>
        <v>672000</v>
      </c>
    </row>
    <row r="22" customFormat="false" ht="15" hidden="false" customHeight="false" outlineLevel="0" collapsed="false">
      <c r="A22" s="7" t="s">
        <v>229</v>
      </c>
      <c r="B22" s="7" t="s">
        <v>230</v>
      </c>
      <c r="C22" s="22" t="str">
        <f aca="false">INDEX(WorkPackages!$C$4:$C$39,MATCH(A22,WorkPackages!$A$4:$A$39,0))</f>
        <v>R4</v>
      </c>
      <c r="D22" s="13" t="n">
        <f aca="false">COUNTIF(Features_Ref!$H$4:$H$175,A22)</f>
        <v>3</v>
      </c>
      <c r="E22" s="27" t="n">
        <f aca="false">INDEX(WorkPackages!$E$4:$E$39,MATCH(A22,WorkPackages!$A$4:$A$39,0))</f>
        <v>300</v>
      </c>
      <c r="F22" s="2" t="s">
        <v>523</v>
      </c>
      <c r="G22" s="2" t="s">
        <v>524</v>
      </c>
      <c r="H22" s="21" t="n">
        <f aca="false">INDEX(WorkPackages!$G$4:$G$39,MATCH(A22,WorkPackages!$A$4:$A$39,0))</f>
        <v>720000</v>
      </c>
    </row>
    <row r="23" customFormat="false" ht="26.85" hidden="false" customHeight="false" outlineLevel="0" collapsed="false">
      <c r="A23" s="7" t="s">
        <v>233</v>
      </c>
      <c r="B23" s="7" t="s">
        <v>234</v>
      </c>
      <c r="C23" s="22" t="str">
        <f aca="false">INDEX(WorkPackages!$C$4:$C$39,MATCH(A23,WorkPackages!$A$4:$A$39,0))</f>
        <v>R2</v>
      </c>
      <c r="D23" s="13" t="n">
        <f aca="false">COUNTIF(Features_Ref!$H$4:$H$175,A23)</f>
        <v>14</v>
      </c>
      <c r="E23" s="27" t="n">
        <f aca="false">INDEX(WorkPackages!$E$4:$E$39,MATCH(A23,WorkPackages!$A$4:$A$39,0))</f>
        <v>600</v>
      </c>
      <c r="F23" s="2" t="s">
        <v>525</v>
      </c>
      <c r="G23" s="2" t="s">
        <v>526</v>
      </c>
      <c r="H23" s="21" t="n">
        <f aca="false">INDEX(WorkPackages!$G$4:$G$39,MATCH(A23,WorkPackages!$A$4:$A$39,0))</f>
        <v>1560000</v>
      </c>
    </row>
    <row r="24" customFormat="false" ht="15" hidden="false" customHeight="false" outlineLevel="0" collapsed="false">
      <c r="A24" s="7" t="s">
        <v>237</v>
      </c>
      <c r="B24" s="7" t="s">
        <v>238</v>
      </c>
      <c r="C24" s="22" t="str">
        <f aca="false">INDEX(WorkPackages!$C$4:$C$39,MATCH(A24,WorkPackages!$A$4:$A$39,0))</f>
        <v>R5</v>
      </c>
      <c r="D24" s="13" t="n">
        <f aca="false">COUNTIF(Features_Ref!$H$4:$H$175,A24)</f>
        <v>3</v>
      </c>
      <c r="E24" s="27" t="n">
        <f aca="false">INDEX(WorkPackages!$E$4:$E$39,MATCH(A24,WorkPackages!$A$4:$A$39,0))</f>
        <v>220</v>
      </c>
      <c r="F24" s="2" t="s">
        <v>176</v>
      </c>
      <c r="G24" s="2" t="s">
        <v>506</v>
      </c>
      <c r="H24" s="21" t="n">
        <f aca="false">INDEX(WorkPackages!$G$4:$G$39,MATCH(A24,WorkPackages!$A$4:$A$39,0))</f>
        <v>484000</v>
      </c>
    </row>
    <row r="25" customFormat="false" ht="15" hidden="false" customHeight="false" outlineLevel="0" collapsed="false">
      <c r="A25" s="7" t="s">
        <v>241</v>
      </c>
      <c r="B25" s="7" t="s">
        <v>242</v>
      </c>
      <c r="C25" s="22" t="str">
        <f aca="false">INDEX(WorkPackages!$C$4:$C$39,MATCH(A25,WorkPackages!$A$4:$A$39,0))</f>
        <v>R5</v>
      </c>
      <c r="D25" s="13" t="n">
        <f aca="false">COUNTIF(Features_Ref!$H$4:$H$175,A25)</f>
        <v>3</v>
      </c>
      <c r="E25" s="27" t="n">
        <f aca="false">INDEX(WorkPackages!$E$4:$E$39,MATCH(A25,WorkPackages!$A$4:$A$39,0))</f>
        <v>200</v>
      </c>
      <c r="F25" s="2" t="s">
        <v>527</v>
      </c>
      <c r="G25" s="2" t="s">
        <v>528</v>
      </c>
      <c r="H25" s="21" t="n">
        <f aca="false">INDEX(WorkPackages!$G$4:$G$39,MATCH(A25,WorkPackages!$A$4:$A$39,0))</f>
        <v>480000</v>
      </c>
    </row>
    <row r="26" customFormat="false" ht="15" hidden="false" customHeight="false" outlineLevel="0" collapsed="false">
      <c r="A26" s="7" t="s">
        <v>244</v>
      </c>
      <c r="B26" s="7" t="s">
        <v>245</v>
      </c>
      <c r="C26" s="22" t="str">
        <f aca="false">INDEX(WorkPackages!$C$4:$C$39,MATCH(A26,WorkPackages!$A$4:$A$39,0))</f>
        <v>R5</v>
      </c>
      <c r="D26" s="13" t="n">
        <f aca="false">COUNTIF(Features_Ref!$H$4:$H$175,A26)</f>
        <v>2</v>
      </c>
      <c r="E26" s="27" t="n">
        <f aca="false">INDEX(WorkPackages!$E$4:$E$39,MATCH(A26,WorkPackages!$A$4:$A$39,0))</f>
        <v>160</v>
      </c>
      <c r="F26" s="2" t="s">
        <v>176</v>
      </c>
      <c r="G26" s="2" t="s">
        <v>529</v>
      </c>
      <c r="H26" s="21" t="n">
        <f aca="false">INDEX(WorkPackages!$G$4:$G$39,MATCH(A26,WorkPackages!$A$4:$A$39,0))</f>
        <v>384000</v>
      </c>
    </row>
    <row r="27" customFormat="false" ht="15" hidden="false" customHeight="false" outlineLevel="0" collapsed="false">
      <c r="A27" s="7" t="s">
        <v>247</v>
      </c>
      <c r="B27" s="7" t="s">
        <v>248</v>
      </c>
      <c r="C27" s="22" t="str">
        <f aca="false">INDEX(WorkPackages!$C$4:$C$39,MATCH(A27,WorkPackages!$A$4:$A$39,0))</f>
        <v>ALL</v>
      </c>
      <c r="D27" s="13" t="n">
        <f aca="false">COUNTIF(Features_Ref!$H$4:$H$175,A27)</f>
        <v>0</v>
      </c>
      <c r="E27" s="27" t="n">
        <f aca="false">INDEX(WorkPackages!$E$4:$E$39,MATCH(A27,WorkPackages!$A$4:$A$39,0))</f>
        <v>640</v>
      </c>
      <c r="F27" s="2" t="s">
        <v>176</v>
      </c>
      <c r="G27" s="2" t="s">
        <v>176</v>
      </c>
      <c r="H27" s="21" t="n">
        <f aca="false">INDEX(WorkPackages!$G$4:$G$39,MATCH(A27,WorkPackages!$A$4:$A$39,0))</f>
        <v>1152000</v>
      </c>
    </row>
    <row r="28" customFormat="false" ht="15" hidden="false" customHeight="false" outlineLevel="0" collapsed="false">
      <c r="A28" s="7" t="s">
        <v>252</v>
      </c>
      <c r="B28" s="7" t="s">
        <v>253</v>
      </c>
      <c r="C28" s="22" t="str">
        <f aca="false">INDEX(WorkPackages!$C$4:$C$39,MATCH(A28,WorkPackages!$A$4:$A$39,0))</f>
        <v>ALL</v>
      </c>
      <c r="D28" s="13" t="n">
        <f aca="false">COUNTIF(Features_Ref!$H$4:$H$175,A28)</f>
        <v>0</v>
      </c>
      <c r="E28" s="27" t="n">
        <f aca="false">INDEX(WorkPackages!$E$4:$E$39,MATCH(A28,WorkPackages!$A$4:$A$39,0))</f>
        <v>320</v>
      </c>
      <c r="F28" s="2" t="s">
        <v>176</v>
      </c>
      <c r="G28" s="2" t="s">
        <v>176</v>
      </c>
      <c r="H28" s="21" t="n">
        <f aca="false">INDEX(WorkPackages!$G$4:$G$39,MATCH(A28,WorkPackages!$A$4:$A$39,0))</f>
        <v>768000</v>
      </c>
    </row>
    <row r="29" customFormat="false" ht="15" hidden="false" customHeight="false" outlineLevel="0" collapsed="false">
      <c r="A29" s="7" t="s">
        <v>254</v>
      </c>
      <c r="B29" s="7" t="s">
        <v>255</v>
      </c>
      <c r="C29" s="22" t="str">
        <f aca="false">INDEX(WorkPackages!$C$4:$C$39,MATCH(A29,WorkPackages!$A$4:$A$39,0))</f>
        <v>ALL</v>
      </c>
      <c r="D29" s="13" t="n">
        <f aca="false">COUNTIF(Features_Ref!$H$4:$H$175,A29)</f>
        <v>0</v>
      </c>
      <c r="E29" s="27" t="n">
        <f aca="false">INDEX(WorkPackages!$E$4:$E$39,MATCH(A29,WorkPackages!$A$4:$A$39,0))</f>
        <v>240</v>
      </c>
      <c r="F29" s="2" t="s">
        <v>176</v>
      </c>
      <c r="G29" s="2" t="s">
        <v>176</v>
      </c>
      <c r="H29" s="21" t="n">
        <f aca="false">INDEX(WorkPackages!$G$4:$G$39,MATCH(A29,WorkPackages!$A$4:$A$39,0))</f>
        <v>576000</v>
      </c>
    </row>
    <row r="30" customFormat="false" ht="15" hidden="false" customHeight="false" outlineLevel="0" collapsed="false">
      <c r="A30" s="7" t="s">
        <v>257</v>
      </c>
      <c r="B30" s="7" t="s">
        <v>258</v>
      </c>
      <c r="C30" s="22" t="str">
        <f aca="false">INDEX(WorkPackages!$C$4:$C$39,MATCH(A30,WorkPackages!$A$4:$A$39,0))</f>
        <v>ALL</v>
      </c>
      <c r="D30" s="13" t="n">
        <f aca="false">COUNTIF(Features_Ref!$H$4:$H$175,A30)</f>
        <v>0</v>
      </c>
      <c r="E30" s="27" t="n">
        <f aca="false">INDEX(WorkPackages!$E$4:$E$39,MATCH(A30,WorkPackages!$A$4:$A$39,0))</f>
        <v>400</v>
      </c>
      <c r="F30" s="2" t="s">
        <v>176</v>
      </c>
      <c r="G30" s="2" t="s">
        <v>176</v>
      </c>
      <c r="H30" s="21" t="n">
        <f aca="false">INDEX(WorkPackages!$G$4:$G$39,MATCH(A30,WorkPackages!$A$4:$A$39,0))</f>
        <v>1200000</v>
      </c>
    </row>
    <row r="31" customFormat="false" ht="39.55" hidden="false" customHeight="false" outlineLevel="0" collapsed="false">
      <c r="A31" s="7" t="s">
        <v>260</v>
      </c>
      <c r="B31" s="7" t="s">
        <v>261</v>
      </c>
      <c r="C31" s="22" t="str">
        <f aca="false">INDEX(WorkPackages!$C$4:$C$39,MATCH(A31,WorkPackages!$A$4:$A$39,0))</f>
        <v>R1</v>
      </c>
      <c r="D31" s="13" t="n">
        <f aca="false">COUNTIF(Features_Ref!$H$4:$H$175,A31)</f>
        <v>11</v>
      </c>
      <c r="E31" s="27" t="n">
        <f aca="false">INDEX(WorkPackages!$E$4:$E$39,MATCH(A31,WorkPackages!$A$4:$A$39,0))</f>
        <v>520</v>
      </c>
      <c r="F31" s="2" t="s">
        <v>530</v>
      </c>
      <c r="G31" s="2" t="s">
        <v>531</v>
      </c>
      <c r="H31" s="21" t="n">
        <f aca="false">INDEX(WorkPackages!$G$4:$G$39,MATCH(A31,WorkPackages!$A$4:$A$39,0))</f>
        <v>1248000</v>
      </c>
    </row>
    <row r="32" customFormat="false" ht="26.85" hidden="false" customHeight="false" outlineLevel="0" collapsed="false">
      <c r="A32" s="7" t="s">
        <v>263</v>
      </c>
      <c r="B32" s="7" t="s">
        <v>264</v>
      </c>
      <c r="C32" s="22" t="str">
        <f aca="false">INDEX(WorkPackages!$C$4:$C$39,MATCH(A32,WorkPackages!$A$4:$A$39,0))</f>
        <v>R1</v>
      </c>
      <c r="D32" s="13" t="n">
        <f aca="false">COUNTIF(Features_Ref!$H$4:$H$175,A32)</f>
        <v>2</v>
      </c>
      <c r="E32" s="27" t="n">
        <f aca="false">INDEX(WorkPackages!$E$4:$E$39,MATCH(A32,WorkPackages!$A$4:$A$39,0))</f>
        <v>280</v>
      </c>
      <c r="F32" s="2" t="s">
        <v>532</v>
      </c>
      <c r="G32" s="2" t="s">
        <v>533</v>
      </c>
      <c r="H32" s="21" t="n">
        <f aca="false">INDEX(WorkPackages!$G$4:$G$39,MATCH(A32,WorkPackages!$A$4:$A$39,0))</f>
        <v>728000</v>
      </c>
    </row>
    <row r="33" customFormat="false" ht="15" hidden="false" customHeight="false" outlineLevel="0" collapsed="false">
      <c r="A33" s="7" t="s">
        <v>266</v>
      </c>
      <c r="B33" s="7" t="s">
        <v>267</v>
      </c>
      <c r="C33" s="22" t="str">
        <f aca="false">INDEX(WorkPackages!$C$4:$C$39,MATCH(A33,WorkPackages!$A$4:$A$39,0))</f>
        <v>R1</v>
      </c>
      <c r="D33" s="13" t="n">
        <f aca="false">COUNTIF(Features_Ref!$H$4:$H$175,A33)</f>
        <v>1</v>
      </c>
      <c r="E33" s="27" t="n">
        <f aca="false">INDEX(WorkPackages!$E$4:$E$39,MATCH(A33,WorkPackages!$A$4:$A$39,0))</f>
        <v>200</v>
      </c>
      <c r="F33" s="2" t="s">
        <v>176</v>
      </c>
      <c r="G33" s="2" t="s">
        <v>176</v>
      </c>
      <c r="H33" s="21" t="n">
        <f aca="false">INDEX(WorkPackages!$G$4:$G$39,MATCH(A33,WorkPackages!$A$4:$A$39,0))</f>
        <v>440000</v>
      </c>
    </row>
    <row r="34" customFormat="false" ht="15" hidden="false" customHeight="false" outlineLevel="0" collapsed="false">
      <c r="A34" s="7" t="s">
        <v>269</v>
      </c>
      <c r="B34" s="7" t="s">
        <v>270</v>
      </c>
      <c r="C34" s="22" t="str">
        <f aca="false">INDEX(WorkPackages!$C$4:$C$39,MATCH(A34,WorkPackages!$A$4:$A$39,0))</f>
        <v>R1</v>
      </c>
      <c r="D34" s="13" t="n">
        <f aca="false">COUNTIF(Features_Ref!$H$4:$H$175,A34)</f>
        <v>4</v>
      </c>
      <c r="E34" s="27" t="n">
        <f aca="false">INDEX(WorkPackages!$E$4:$E$39,MATCH(A34,WorkPackages!$A$4:$A$39,0))</f>
        <v>220</v>
      </c>
      <c r="F34" s="2" t="s">
        <v>534</v>
      </c>
      <c r="G34" s="2" t="s">
        <v>176</v>
      </c>
      <c r="H34" s="21" t="n">
        <f aca="false">INDEX(WorkPackages!$G$4:$G$39,MATCH(A34,WorkPackages!$A$4:$A$39,0))</f>
        <v>572000</v>
      </c>
    </row>
    <row r="35" customFormat="false" ht="26.85" hidden="false" customHeight="false" outlineLevel="0" collapsed="false">
      <c r="A35" s="7" t="s">
        <v>272</v>
      </c>
      <c r="B35" s="7" t="s">
        <v>273</v>
      </c>
      <c r="C35" s="22" t="str">
        <f aca="false">INDEX(WorkPackages!$C$4:$C$39,MATCH(A35,WorkPackages!$A$4:$A$39,0))</f>
        <v>R1</v>
      </c>
      <c r="D35" s="13" t="n">
        <f aca="false">COUNTIF(Features_Ref!$H$4:$H$175,A35)</f>
        <v>5</v>
      </c>
      <c r="E35" s="27" t="n">
        <f aca="false">INDEX(WorkPackages!$E$4:$E$39,MATCH(A35,WorkPackages!$A$4:$A$39,0))</f>
        <v>200</v>
      </c>
      <c r="F35" s="2" t="s">
        <v>535</v>
      </c>
      <c r="G35" s="2" t="s">
        <v>515</v>
      </c>
      <c r="H35" s="21" t="n">
        <f aca="false">INDEX(WorkPackages!$G$4:$G$39,MATCH(A35,WorkPackages!$A$4:$A$39,0))</f>
        <v>520000</v>
      </c>
    </row>
    <row r="36" customFormat="false" ht="15" hidden="false" customHeight="false" outlineLevel="0" collapsed="false">
      <c r="A36" s="7" t="s">
        <v>275</v>
      </c>
      <c r="B36" s="7" t="s">
        <v>276</v>
      </c>
      <c r="C36" s="22" t="str">
        <f aca="false">INDEX(WorkPackages!$C$4:$C$39,MATCH(A36,WorkPackages!$A$4:$A$39,0))</f>
        <v>R2</v>
      </c>
      <c r="D36" s="13" t="n">
        <f aca="false">COUNTIF(Features_Ref!$H$4:$H$175,A36)</f>
        <v>1</v>
      </c>
      <c r="E36" s="27" t="n">
        <f aca="false">INDEX(WorkPackages!$E$4:$E$39,MATCH(A36,WorkPackages!$A$4:$A$39,0))</f>
        <v>180</v>
      </c>
      <c r="F36" s="2" t="s">
        <v>536</v>
      </c>
      <c r="G36" s="2" t="s">
        <v>176</v>
      </c>
      <c r="H36" s="21" t="n">
        <f aca="false">INDEX(WorkPackages!$G$4:$G$39,MATCH(A36,WorkPackages!$A$4:$A$39,0))</f>
        <v>468000</v>
      </c>
    </row>
    <row r="37" customFormat="false" ht="15" hidden="false" customHeight="false" outlineLevel="0" collapsed="false">
      <c r="A37" s="7" t="s">
        <v>278</v>
      </c>
      <c r="B37" s="7" t="s">
        <v>279</v>
      </c>
      <c r="C37" s="22" t="str">
        <f aca="false">INDEX(WorkPackages!$C$4:$C$39,MATCH(A37,WorkPackages!$A$4:$A$39,0))</f>
        <v>R1</v>
      </c>
      <c r="D37" s="13" t="n">
        <f aca="false">COUNTIF(Features_Ref!$H$4:$H$175,A37)</f>
        <v>4</v>
      </c>
      <c r="E37" s="27" t="n">
        <f aca="false">INDEX(WorkPackages!$E$4:$E$39,MATCH(A37,WorkPackages!$A$4:$A$39,0))</f>
        <v>260</v>
      </c>
      <c r="F37" s="2" t="s">
        <v>537</v>
      </c>
      <c r="G37" s="2" t="s">
        <v>538</v>
      </c>
      <c r="H37" s="21" t="n">
        <f aca="false">INDEX(WorkPackages!$G$4:$G$39,MATCH(A37,WorkPackages!$A$4:$A$39,0))</f>
        <v>676000</v>
      </c>
    </row>
    <row r="38" customFormat="false" ht="15" hidden="false" customHeight="false" outlineLevel="0" collapsed="false">
      <c r="A38" s="7" t="s">
        <v>281</v>
      </c>
      <c r="B38" s="7" t="s">
        <v>282</v>
      </c>
      <c r="C38" s="22" t="str">
        <f aca="false">INDEX(WorkPackages!$C$4:$C$39,MATCH(A38,WorkPackages!$A$4:$A$39,0))</f>
        <v>R2</v>
      </c>
      <c r="D38" s="13" t="n">
        <f aca="false">COUNTIF(Features_Ref!$H$4:$H$175,A38)</f>
        <v>2</v>
      </c>
      <c r="E38" s="27" t="n">
        <f aca="false">INDEX(WorkPackages!$E$4:$E$39,MATCH(A38,WorkPackages!$A$4:$A$39,0))</f>
        <v>240</v>
      </c>
      <c r="F38" s="2" t="s">
        <v>539</v>
      </c>
      <c r="G38" s="2" t="s">
        <v>506</v>
      </c>
      <c r="H38" s="21" t="n">
        <f aca="false">INDEX(WorkPackages!$G$4:$G$39,MATCH(A38,WorkPackages!$A$4:$A$39,0))</f>
        <v>624000</v>
      </c>
    </row>
    <row r="39" customFormat="false" ht="15" hidden="false" customHeight="false" outlineLevel="0" collapsed="false">
      <c r="A39" s="7" t="s">
        <v>284</v>
      </c>
      <c r="B39" s="7" t="s">
        <v>285</v>
      </c>
      <c r="C39" s="22" t="str">
        <f aca="false">INDEX(WorkPackages!$C$4:$C$39,MATCH(A39,WorkPackages!$A$4:$A$39,0))</f>
        <v>R5</v>
      </c>
      <c r="D39" s="13" t="n">
        <f aca="false">COUNTIF(Features_Ref!$H$4:$H$175,A39)</f>
        <v>4</v>
      </c>
      <c r="E39" s="27" t="n">
        <f aca="false">INDEX(WorkPackages!$E$4:$E$39,MATCH(A39,WorkPackages!$A$4:$A$39,0))</f>
        <v>160</v>
      </c>
      <c r="F39" s="2" t="s">
        <v>176</v>
      </c>
      <c r="G39" s="2" t="s">
        <v>540</v>
      </c>
      <c r="H39" s="21" t="n">
        <f aca="false">INDEX(WorkPackages!$G$4:$G$39,MATCH(A39,WorkPackages!$A$4:$A$39,0))</f>
        <v>416000</v>
      </c>
    </row>
    <row r="40" customFormat="false" ht="15" hidden="false" customHeight="false" outlineLevel="0" collapsed="false">
      <c r="A40" s="23" t="s">
        <v>287</v>
      </c>
      <c r="B40" s="24"/>
      <c r="C40" s="24"/>
      <c r="D40" s="25" t="n">
        <f aca="false">SUM(D4:D39)</f>
        <v>145</v>
      </c>
      <c r="E40" s="25" t="n">
        <f aca="false">SUM(E4:E39)</f>
        <v>11180</v>
      </c>
      <c r="F40" s="24"/>
      <c r="G40" s="24"/>
      <c r="H40" s="26" t="n">
        <f aca="false">SUM(H4:H39)</f>
        <v>27604000</v>
      </c>
    </row>
    <row r="41" customFormat="false" ht="15" hidden="false" customHeight="false" outlineLevel="0" collapsed="false">
      <c r="A41" s="7" t="s">
        <v>541</v>
      </c>
      <c r="D41" s="13" t="n">
        <f aca="false">COUNTA(Features_Ref!$A$4:$A$175)</f>
        <v>172</v>
      </c>
    </row>
    <row r="42" customFormat="false" ht="15" hidden="false" customHeight="false" outlineLevel="0" collapsed="false">
      <c r="A42" s="7" t="s">
        <v>542</v>
      </c>
      <c r="D42" s="13" t="n">
        <f aca="false">COUNTIF(Features_Ref!$H$4:$H$175,"")</f>
        <v>27</v>
      </c>
    </row>
    <row r="43" customFormat="false" ht="15" hidden="false" customHeight="false" outlineLevel="0" collapsed="false">
      <c r="A43" s="7" t="s">
        <v>543</v>
      </c>
      <c r="D43" s="13" t="n">
        <f aca="false">D40</f>
        <v>145</v>
      </c>
    </row>
    <row r="44" customFormat="false" ht="15" hidden="false" customHeight="false" outlineLevel="0" collapsed="false">
      <c r="A44" s="7" t="s">
        <v>544</v>
      </c>
      <c r="D44" s="12" t="n">
        <v>172</v>
      </c>
    </row>
    <row r="45" customFormat="false" ht="15" hidden="false" customHeight="false" outlineLevel="0" collapsed="false">
      <c r="A45" s="7" t="s">
        <v>545</v>
      </c>
      <c r="D45" s="28" t="str">
        <f aca="false">IF(AND(D41=D44,D43+D42=D41),"OK","CHECK")</f>
        <v>OK</v>
      </c>
    </row>
    <row r="47" customFormat="false" ht="15" hidden="false" customHeight="false" outlineLevel="0" collapsed="false">
      <c r="A47" s="28" t="s">
        <v>546</v>
      </c>
    </row>
    <row r="48" customFormat="false" ht="15" hidden="false" customHeight="false" outlineLevel="0" collapsed="false">
      <c r="A48" s="6" t="s">
        <v>547</v>
      </c>
      <c r="B48" s="6" t="s">
        <v>164</v>
      </c>
      <c r="C48" s="6"/>
      <c r="D48" s="6" t="s">
        <v>548</v>
      </c>
      <c r="E48" s="6" t="s">
        <v>549</v>
      </c>
      <c r="F48" s="6" t="s">
        <v>550</v>
      </c>
      <c r="G48" s="6" t="s">
        <v>551</v>
      </c>
      <c r="H48" s="6" t="s">
        <v>552</v>
      </c>
    </row>
    <row r="49" customFormat="false" ht="15" hidden="false" customHeight="false" outlineLevel="0" collapsed="false">
      <c r="A49" s="7" t="s">
        <v>174</v>
      </c>
      <c r="B49" s="7" t="s">
        <v>553</v>
      </c>
      <c r="D49" s="13" t="n">
        <f aca="false">COUNTIFS(Features_Ref!$D$4:$D$175,$A49,Features_Ref!$E$4:$E$175,"IN")</f>
        <v>10</v>
      </c>
      <c r="E49" s="13" t="n">
        <f aca="false">COUNTIFS(Features_Ref!$D$4:$D$175,$A49,Features_Ref!$E$4:$E$175,"CONDITIONAL")</f>
        <v>0</v>
      </c>
      <c r="F49" s="13" t="n">
        <f aca="false">COUNTIFS(Features_Ref!$D$4:$D$175,$A49,Features_Ref!$E$4:$E$175,"NA")</f>
        <v>0</v>
      </c>
      <c r="G49" s="45" t="n">
        <f aca="false">SUM(D49:F49)+H49</f>
        <v>10</v>
      </c>
      <c r="H49" s="13" t="n">
        <f aca="false">COUNTIFS(Features_Ref!$D$4:$D$175,$A49,Features_Ref!$E$4:$E$175,"OMITTED")</f>
        <v>0</v>
      </c>
    </row>
    <row r="50" customFormat="false" ht="15" hidden="false" customHeight="false" outlineLevel="0" collapsed="false">
      <c r="A50" s="7" t="s">
        <v>193</v>
      </c>
      <c r="B50" s="7" t="s">
        <v>554</v>
      </c>
      <c r="D50" s="13" t="n">
        <f aca="false">COUNTIFS(Features_Ref!$D$4:$D$175,$A50,Features_Ref!$E$4:$E$175,"IN")</f>
        <v>62</v>
      </c>
      <c r="E50" s="13" t="n">
        <f aca="false">COUNTIFS(Features_Ref!$D$4:$D$175,$A50,Features_Ref!$E$4:$E$175,"CONDITIONAL")</f>
        <v>2</v>
      </c>
      <c r="F50" s="13" t="n">
        <f aca="false">COUNTIFS(Features_Ref!$D$4:$D$175,$A50,Features_Ref!$E$4:$E$175,"NA")</f>
        <v>0</v>
      </c>
      <c r="G50" s="45" t="n">
        <f aca="false">SUM(D50:F50)+H50</f>
        <v>64</v>
      </c>
      <c r="H50" s="13" t="n">
        <f aca="false">COUNTIFS(Features_Ref!$D$4:$D$175,$A50,Features_Ref!$E$4:$E$175,"OMITTED")</f>
        <v>0</v>
      </c>
    </row>
    <row r="51" customFormat="false" ht="15" hidden="false" customHeight="false" outlineLevel="0" collapsed="false">
      <c r="A51" s="7" t="s">
        <v>214</v>
      </c>
      <c r="B51" s="7" t="s">
        <v>555</v>
      </c>
      <c r="D51" s="13" t="n">
        <f aca="false">COUNTIFS(Features_Ref!$D$4:$D$175,$A51,Features_Ref!$E$4:$E$175,"IN")</f>
        <v>28</v>
      </c>
      <c r="E51" s="13" t="n">
        <f aca="false">COUNTIFS(Features_Ref!$D$4:$D$175,$A51,Features_Ref!$E$4:$E$175,"CONDITIONAL")</f>
        <v>4</v>
      </c>
      <c r="F51" s="13" t="n">
        <f aca="false">COUNTIFS(Features_Ref!$D$4:$D$175,$A51,Features_Ref!$E$4:$E$175,"NA")</f>
        <v>0</v>
      </c>
      <c r="G51" s="45" t="n">
        <f aca="false">SUM(D51:F51)+H51</f>
        <v>36</v>
      </c>
      <c r="H51" s="13" t="n">
        <f aca="false">COUNTIFS(Features_Ref!$D$4:$D$175,$A51,Features_Ref!$E$4:$E$175,"OMITTED")</f>
        <v>4</v>
      </c>
    </row>
    <row r="52" customFormat="false" ht="15" hidden="false" customHeight="false" outlineLevel="0" collapsed="false">
      <c r="A52" s="7" t="s">
        <v>218</v>
      </c>
      <c r="B52" s="7" t="s">
        <v>556</v>
      </c>
      <c r="D52" s="13" t="n">
        <f aca="false">COUNTIFS(Features_Ref!$D$4:$D$175,$A52,Features_Ref!$E$4:$E$175,"IN")</f>
        <v>19</v>
      </c>
      <c r="E52" s="13" t="n">
        <f aca="false">COUNTIFS(Features_Ref!$D$4:$D$175,$A52,Features_Ref!$E$4:$E$175,"CONDITIONAL")</f>
        <v>0</v>
      </c>
      <c r="F52" s="13" t="n">
        <f aca="false">COUNTIFS(Features_Ref!$D$4:$D$175,$A52,Features_Ref!$E$4:$E$175,"NA")</f>
        <v>0</v>
      </c>
      <c r="G52" s="45" t="n">
        <f aca="false">SUM(D52:F52)+H52</f>
        <v>20</v>
      </c>
      <c r="H52" s="13" t="n">
        <f aca="false">COUNTIFS(Features_Ref!$D$4:$D$175,$A52,Features_Ref!$E$4:$E$175,"OMITTED")</f>
        <v>1</v>
      </c>
    </row>
    <row r="53" customFormat="false" ht="15" hidden="false" customHeight="false" outlineLevel="0" collapsed="false">
      <c r="A53" s="7" t="s">
        <v>231</v>
      </c>
      <c r="B53" s="7" t="s">
        <v>557</v>
      </c>
      <c r="D53" s="13" t="n">
        <f aca="false">COUNTIFS(Features_Ref!$D$4:$D$175,$A53,Features_Ref!$E$4:$E$175,"IN")</f>
        <v>2</v>
      </c>
      <c r="E53" s="13" t="n">
        <f aca="false">COUNTIFS(Features_Ref!$D$4:$D$175,$A53,Features_Ref!$E$4:$E$175,"CONDITIONAL")</f>
        <v>3</v>
      </c>
      <c r="F53" s="13" t="n">
        <f aca="false">COUNTIFS(Features_Ref!$D$4:$D$175,$A53,Features_Ref!$E$4:$E$175,"NA")</f>
        <v>0</v>
      </c>
      <c r="G53" s="45" t="n">
        <f aca="false">SUM(D53:F53)+H53</f>
        <v>13</v>
      </c>
      <c r="H53" s="13" t="n">
        <f aca="false">COUNTIFS(Features_Ref!$D$4:$D$175,$A53,Features_Ref!$E$4:$E$175,"OMITTED")</f>
        <v>8</v>
      </c>
    </row>
    <row r="54" customFormat="false" ht="15" hidden="false" customHeight="false" outlineLevel="0" collapsed="false">
      <c r="A54" s="7" t="s">
        <v>239</v>
      </c>
      <c r="B54" s="7" t="s">
        <v>558</v>
      </c>
      <c r="D54" s="13" t="n">
        <f aca="false">COUNTIFS(Features_Ref!$D$4:$D$175,$A54,Features_Ref!$E$4:$E$175,"IN")</f>
        <v>7</v>
      </c>
      <c r="E54" s="13" t="n">
        <f aca="false">COUNTIFS(Features_Ref!$D$4:$D$175,$A54,Features_Ref!$E$4:$E$175,"CONDITIONAL")</f>
        <v>8</v>
      </c>
      <c r="F54" s="13" t="n">
        <f aca="false">COUNTIFS(Features_Ref!$D$4:$D$175,$A54,Features_Ref!$E$4:$E$175,"NA")</f>
        <v>0</v>
      </c>
      <c r="G54" s="45" t="n">
        <f aca="false">SUM(D54:F54)+H54</f>
        <v>16</v>
      </c>
      <c r="H54" s="13" t="n">
        <f aca="false">COUNTIFS(Features_Ref!$D$4:$D$175,$A54,Features_Ref!$E$4:$E$175,"OMITTED")</f>
        <v>1</v>
      </c>
    </row>
    <row r="55" customFormat="false" ht="15" hidden="false" customHeight="false" outlineLevel="0" collapsed="false">
      <c r="A55" s="7" t="s">
        <v>176</v>
      </c>
      <c r="B55" s="7" t="s">
        <v>559</v>
      </c>
      <c r="D55" s="13" t="n">
        <f aca="false">COUNTIFS(Features_Ref!$D$4:$D$175,$A55,Features_Ref!$E$4:$E$175,"IN")</f>
        <v>0</v>
      </c>
      <c r="E55" s="13" t="n">
        <f aca="false">COUNTIFS(Features_Ref!$D$4:$D$175,$A55,Features_Ref!$E$4:$E$175,"CONDITIONAL")</f>
        <v>0</v>
      </c>
      <c r="F55" s="13" t="n">
        <f aca="false">COUNTIFS(Features_Ref!$D$4:$D$175,$A55,Features_Ref!$E$4:$E$175,"NA")</f>
        <v>4</v>
      </c>
      <c r="G55" s="45" t="n">
        <f aca="false">SUM(D55:F55)+H55</f>
        <v>13</v>
      </c>
      <c r="H55" s="13" t="n">
        <f aca="false">COUNTIFS(Features_Ref!$D$4:$D$175,$A55,Features_Ref!$E$4:$E$175,"OMITTED")</f>
        <v>9</v>
      </c>
    </row>
    <row r="56" customFormat="false" ht="15" hidden="false" customHeight="false" outlineLevel="0" collapsed="false">
      <c r="A56" s="23" t="s">
        <v>287</v>
      </c>
      <c r="D56" s="25" t="n">
        <f aca="false">SUM(D49:D55)</f>
        <v>128</v>
      </c>
      <c r="E56" s="25" t="n">
        <f aca="false">SUM(E49:E55)</f>
        <v>17</v>
      </c>
      <c r="F56" s="25" t="n">
        <f aca="false">SUM(F49:F55)</f>
        <v>4</v>
      </c>
      <c r="G56" s="25" t="n">
        <f aca="false">SUM(G49:G55)</f>
        <v>172</v>
      </c>
      <c r="H56" s="25" t="n">
        <f aca="false">SUM(H49:H55)</f>
        <v>23</v>
      </c>
    </row>
    <row r="58" customFormat="false" ht="90" hidden="false" customHeight="true" outlineLevel="0" collapsed="false">
      <c r="A58" s="46" t="s">
        <v>560</v>
      </c>
      <c r="B58" s="46"/>
      <c r="C58" s="46"/>
      <c r="D58" s="46"/>
      <c r="E58" s="46"/>
      <c r="F58" s="46"/>
      <c r="G58" s="46"/>
      <c r="H58" s="46"/>
    </row>
  </sheetData>
  <mergeCells count="1">
    <mergeCell ref="A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7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561</v>
      </c>
    </row>
    <row r="3" customFormat="false" ht="26.85" hidden="false" customHeight="false" outlineLevel="0" collapsed="false">
      <c r="A3" s="6" t="s">
        <v>562</v>
      </c>
      <c r="B3" s="6" t="s">
        <v>563</v>
      </c>
      <c r="C3" s="6" t="s">
        <v>163</v>
      </c>
      <c r="D3" s="6" t="s">
        <v>164</v>
      </c>
      <c r="E3" s="6" t="s">
        <v>564</v>
      </c>
      <c r="F3" s="6" t="s">
        <v>565</v>
      </c>
      <c r="G3" s="6" t="s">
        <v>566</v>
      </c>
      <c r="H3" s="6" t="s">
        <v>162</v>
      </c>
    </row>
    <row r="4" customFormat="false" ht="15" hidden="false" customHeight="false" outlineLevel="0" collapsed="false">
      <c r="A4" s="7" t="s">
        <v>567</v>
      </c>
      <c r="B4" s="7" t="s">
        <v>568</v>
      </c>
      <c r="C4" s="7" t="s">
        <v>569</v>
      </c>
      <c r="D4" s="7" t="s">
        <v>174</v>
      </c>
      <c r="E4" s="7" t="s">
        <v>548</v>
      </c>
      <c r="H4" s="7" t="s">
        <v>180</v>
      </c>
    </row>
    <row r="5" customFormat="false" ht="15" hidden="false" customHeight="false" outlineLevel="0" collapsed="false">
      <c r="A5" s="7" t="s">
        <v>570</v>
      </c>
      <c r="B5" s="7" t="s">
        <v>568</v>
      </c>
      <c r="C5" s="7" t="s">
        <v>571</v>
      </c>
      <c r="D5" s="7" t="s">
        <v>174</v>
      </c>
      <c r="E5" s="7" t="s">
        <v>548</v>
      </c>
      <c r="H5" s="7" t="s">
        <v>182</v>
      </c>
    </row>
    <row r="6" customFormat="false" ht="15" hidden="false" customHeight="false" outlineLevel="0" collapsed="false">
      <c r="A6" s="7" t="s">
        <v>572</v>
      </c>
      <c r="B6" s="7" t="s">
        <v>568</v>
      </c>
      <c r="C6" s="7" t="s">
        <v>573</v>
      </c>
      <c r="D6" s="7" t="s">
        <v>174</v>
      </c>
      <c r="E6" s="7" t="s">
        <v>548</v>
      </c>
      <c r="H6" s="7" t="s">
        <v>182</v>
      </c>
    </row>
    <row r="7" customFormat="false" ht="15" hidden="false" customHeight="false" outlineLevel="0" collapsed="false">
      <c r="A7" s="7" t="s">
        <v>574</v>
      </c>
      <c r="B7" s="7" t="s">
        <v>568</v>
      </c>
      <c r="C7" s="7" t="s">
        <v>575</v>
      </c>
      <c r="D7" s="7" t="s">
        <v>174</v>
      </c>
      <c r="E7" s="7" t="s">
        <v>548</v>
      </c>
      <c r="F7" s="7" t="s">
        <v>505</v>
      </c>
      <c r="H7" s="7" t="s">
        <v>182</v>
      </c>
    </row>
    <row r="8" customFormat="false" ht="15" hidden="false" customHeight="false" outlineLevel="0" collapsed="false">
      <c r="A8" s="7" t="s">
        <v>576</v>
      </c>
      <c r="B8" s="7" t="s">
        <v>568</v>
      </c>
      <c r="C8" s="7" t="s">
        <v>577</v>
      </c>
      <c r="D8" s="7" t="s">
        <v>214</v>
      </c>
      <c r="E8" s="7" t="s">
        <v>548</v>
      </c>
      <c r="F8" s="7" t="s">
        <v>578</v>
      </c>
      <c r="H8" s="7" t="s">
        <v>196</v>
      </c>
    </row>
    <row r="9" customFormat="false" ht="15" hidden="false" customHeight="false" outlineLevel="0" collapsed="false">
      <c r="A9" s="7" t="s">
        <v>579</v>
      </c>
      <c r="B9" s="7" t="s">
        <v>568</v>
      </c>
      <c r="C9" s="7" t="s">
        <v>580</v>
      </c>
      <c r="D9" s="7" t="s">
        <v>174</v>
      </c>
      <c r="E9" s="7" t="s">
        <v>548</v>
      </c>
      <c r="H9" s="7" t="s">
        <v>180</v>
      </c>
    </row>
    <row r="10" customFormat="false" ht="15" hidden="false" customHeight="false" outlineLevel="0" collapsed="false">
      <c r="A10" s="7" t="s">
        <v>581</v>
      </c>
      <c r="B10" s="7" t="s">
        <v>568</v>
      </c>
      <c r="C10" s="7" t="s">
        <v>582</v>
      </c>
      <c r="D10" s="7" t="s">
        <v>174</v>
      </c>
      <c r="E10" s="7" t="s">
        <v>548</v>
      </c>
      <c r="H10" s="7" t="s">
        <v>180</v>
      </c>
    </row>
    <row r="11" customFormat="false" ht="15" hidden="false" customHeight="false" outlineLevel="0" collapsed="false">
      <c r="A11" s="7" t="s">
        <v>583</v>
      </c>
      <c r="B11" s="7" t="s">
        <v>568</v>
      </c>
      <c r="C11" s="7" t="s">
        <v>584</v>
      </c>
      <c r="D11" s="7" t="s">
        <v>174</v>
      </c>
      <c r="E11" s="7" t="s">
        <v>548</v>
      </c>
      <c r="H11" s="7" t="s">
        <v>188</v>
      </c>
    </row>
    <row r="12" customFormat="false" ht="15" hidden="false" customHeight="false" outlineLevel="0" collapsed="false">
      <c r="A12" s="7" t="s">
        <v>585</v>
      </c>
      <c r="B12" s="7" t="s">
        <v>568</v>
      </c>
      <c r="C12" s="7" t="s">
        <v>586</v>
      </c>
      <c r="D12" s="7" t="s">
        <v>193</v>
      </c>
      <c r="E12" s="7" t="s">
        <v>548</v>
      </c>
      <c r="H12" s="7" t="s">
        <v>196</v>
      </c>
    </row>
    <row r="13" customFormat="false" ht="15" hidden="false" customHeight="false" outlineLevel="0" collapsed="false">
      <c r="A13" s="7" t="s">
        <v>587</v>
      </c>
      <c r="B13" s="7" t="s">
        <v>568</v>
      </c>
      <c r="C13" s="7" t="s">
        <v>588</v>
      </c>
      <c r="D13" s="7" t="s">
        <v>176</v>
      </c>
      <c r="E13" s="7" t="s">
        <v>550</v>
      </c>
    </row>
    <row r="14" customFormat="false" ht="15" hidden="false" customHeight="false" outlineLevel="0" collapsed="false">
      <c r="A14" s="7" t="s">
        <v>589</v>
      </c>
      <c r="B14" s="7" t="s">
        <v>590</v>
      </c>
      <c r="C14" s="7" t="s">
        <v>591</v>
      </c>
      <c r="D14" s="7" t="s">
        <v>193</v>
      </c>
      <c r="E14" s="7" t="s">
        <v>548</v>
      </c>
      <c r="F14" s="7" t="s">
        <v>592</v>
      </c>
      <c r="G14" s="7" t="s">
        <v>506</v>
      </c>
      <c r="H14" s="7" t="s">
        <v>196</v>
      </c>
    </row>
    <row r="15" customFormat="false" ht="15" hidden="false" customHeight="false" outlineLevel="0" collapsed="false">
      <c r="A15" s="7" t="s">
        <v>593</v>
      </c>
      <c r="B15" s="7" t="s">
        <v>590</v>
      </c>
      <c r="C15" s="7" t="s">
        <v>594</v>
      </c>
      <c r="D15" s="7" t="s">
        <v>193</v>
      </c>
      <c r="E15" s="7" t="s">
        <v>548</v>
      </c>
      <c r="F15" s="7" t="s">
        <v>595</v>
      </c>
      <c r="H15" s="7" t="s">
        <v>196</v>
      </c>
    </row>
    <row r="16" customFormat="false" ht="15" hidden="false" customHeight="false" outlineLevel="0" collapsed="false">
      <c r="A16" s="7" t="s">
        <v>596</v>
      </c>
      <c r="B16" s="7" t="s">
        <v>590</v>
      </c>
      <c r="C16" s="7" t="s">
        <v>597</v>
      </c>
      <c r="D16" s="7" t="s">
        <v>193</v>
      </c>
      <c r="E16" s="7" t="s">
        <v>548</v>
      </c>
      <c r="H16" s="7" t="s">
        <v>196</v>
      </c>
    </row>
    <row r="17" customFormat="false" ht="15" hidden="false" customHeight="false" outlineLevel="0" collapsed="false">
      <c r="A17" s="7" t="s">
        <v>598</v>
      </c>
      <c r="B17" s="7" t="s">
        <v>590</v>
      </c>
      <c r="C17" s="7" t="s">
        <v>599</v>
      </c>
      <c r="D17" s="7" t="s">
        <v>193</v>
      </c>
      <c r="E17" s="7" t="s">
        <v>548</v>
      </c>
      <c r="F17" s="7" t="s">
        <v>600</v>
      </c>
      <c r="H17" s="7" t="s">
        <v>196</v>
      </c>
    </row>
    <row r="18" customFormat="false" ht="15" hidden="false" customHeight="false" outlineLevel="0" collapsed="false">
      <c r="A18" s="7" t="s">
        <v>601</v>
      </c>
      <c r="B18" s="7" t="s">
        <v>590</v>
      </c>
      <c r="C18" s="7" t="s">
        <v>602</v>
      </c>
      <c r="D18" s="7" t="s">
        <v>193</v>
      </c>
      <c r="E18" s="7" t="s">
        <v>548</v>
      </c>
      <c r="F18" s="7" t="s">
        <v>603</v>
      </c>
      <c r="H18" s="7" t="s">
        <v>196</v>
      </c>
    </row>
    <row r="19" customFormat="false" ht="15" hidden="false" customHeight="false" outlineLevel="0" collapsed="false">
      <c r="A19" s="7" t="s">
        <v>604</v>
      </c>
      <c r="B19" s="7" t="s">
        <v>590</v>
      </c>
      <c r="C19" s="7" t="s">
        <v>605</v>
      </c>
      <c r="D19" s="7" t="s">
        <v>214</v>
      </c>
      <c r="E19" s="7" t="s">
        <v>548</v>
      </c>
      <c r="F19" s="7" t="s">
        <v>606</v>
      </c>
      <c r="H19" s="7" t="s">
        <v>196</v>
      </c>
    </row>
    <row r="20" customFormat="false" ht="15" hidden="false" customHeight="false" outlineLevel="0" collapsed="false">
      <c r="A20" s="7" t="s">
        <v>607</v>
      </c>
      <c r="B20" s="7" t="s">
        <v>590</v>
      </c>
      <c r="C20" s="7" t="s">
        <v>608</v>
      </c>
      <c r="D20" s="7" t="s">
        <v>193</v>
      </c>
      <c r="E20" s="7" t="s">
        <v>548</v>
      </c>
      <c r="H20" s="7" t="s">
        <v>196</v>
      </c>
    </row>
    <row r="21" customFormat="false" ht="15" hidden="false" customHeight="false" outlineLevel="0" collapsed="false">
      <c r="A21" s="7" t="s">
        <v>609</v>
      </c>
      <c r="B21" s="7" t="s">
        <v>590</v>
      </c>
      <c r="C21" s="7" t="s">
        <v>610</v>
      </c>
      <c r="D21" s="7" t="s">
        <v>193</v>
      </c>
      <c r="E21" s="7" t="s">
        <v>548</v>
      </c>
      <c r="H21" s="7" t="s">
        <v>196</v>
      </c>
    </row>
    <row r="22" customFormat="false" ht="15" hidden="false" customHeight="false" outlineLevel="0" collapsed="false">
      <c r="A22" s="7" t="s">
        <v>611</v>
      </c>
      <c r="B22" s="7" t="s">
        <v>590</v>
      </c>
      <c r="C22" s="7" t="s">
        <v>612</v>
      </c>
      <c r="D22" s="7" t="s">
        <v>193</v>
      </c>
      <c r="E22" s="7" t="s">
        <v>548</v>
      </c>
      <c r="F22" s="7" t="s">
        <v>613</v>
      </c>
      <c r="H22" s="7" t="s">
        <v>196</v>
      </c>
    </row>
    <row r="23" customFormat="false" ht="15" hidden="false" customHeight="false" outlineLevel="0" collapsed="false">
      <c r="A23" s="7" t="s">
        <v>614</v>
      </c>
      <c r="B23" s="7" t="s">
        <v>590</v>
      </c>
      <c r="C23" s="7" t="s">
        <v>615</v>
      </c>
      <c r="D23" s="7" t="s">
        <v>214</v>
      </c>
      <c r="E23" s="7" t="s">
        <v>548</v>
      </c>
      <c r="H23" s="7" t="s">
        <v>196</v>
      </c>
    </row>
    <row r="24" customFormat="false" ht="15" hidden="false" customHeight="false" outlineLevel="0" collapsed="false">
      <c r="A24" s="7" t="s">
        <v>616</v>
      </c>
      <c r="B24" s="7" t="s">
        <v>590</v>
      </c>
      <c r="C24" s="7" t="s">
        <v>617</v>
      </c>
      <c r="D24" s="7" t="s">
        <v>214</v>
      </c>
      <c r="E24" s="7" t="s">
        <v>548</v>
      </c>
      <c r="F24" s="7" t="s">
        <v>618</v>
      </c>
      <c r="H24" s="7" t="s">
        <v>196</v>
      </c>
    </row>
    <row r="25" customFormat="false" ht="15" hidden="false" customHeight="false" outlineLevel="0" collapsed="false">
      <c r="A25" s="7" t="s">
        <v>619</v>
      </c>
      <c r="B25" s="7" t="s">
        <v>620</v>
      </c>
      <c r="C25" s="7" t="s">
        <v>621</v>
      </c>
      <c r="D25" s="7" t="s">
        <v>193</v>
      </c>
      <c r="E25" s="7" t="s">
        <v>548</v>
      </c>
      <c r="F25" s="7" t="s">
        <v>622</v>
      </c>
      <c r="H25" s="7" t="s">
        <v>199</v>
      </c>
    </row>
    <row r="26" customFormat="false" ht="15" hidden="false" customHeight="false" outlineLevel="0" collapsed="false">
      <c r="A26" s="7" t="s">
        <v>623</v>
      </c>
      <c r="B26" s="7" t="s">
        <v>620</v>
      </c>
      <c r="C26" s="7" t="s">
        <v>624</v>
      </c>
      <c r="D26" s="7" t="s">
        <v>193</v>
      </c>
      <c r="E26" s="7" t="s">
        <v>548</v>
      </c>
      <c r="F26" s="7" t="s">
        <v>625</v>
      </c>
      <c r="H26" s="7" t="s">
        <v>191</v>
      </c>
    </row>
    <row r="27" customFormat="false" ht="15" hidden="false" customHeight="false" outlineLevel="0" collapsed="false">
      <c r="A27" s="7" t="s">
        <v>626</v>
      </c>
      <c r="B27" s="7" t="s">
        <v>620</v>
      </c>
      <c r="C27" s="7" t="s">
        <v>627</v>
      </c>
      <c r="D27" s="7" t="s">
        <v>193</v>
      </c>
      <c r="E27" s="7" t="s">
        <v>548</v>
      </c>
      <c r="F27" s="7" t="s">
        <v>628</v>
      </c>
      <c r="H27" s="7" t="s">
        <v>199</v>
      </c>
    </row>
    <row r="28" customFormat="false" ht="15" hidden="false" customHeight="false" outlineLevel="0" collapsed="false">
      <c r="A28" s="7" t="s">
        <v>629</v>
      </c>
      <c r="B28" s="7" t="s">
        <v>620</v>
      </c>
      <c r="C28" s="7" t="s">
        <v>630</v>
      </c>
      <c r="D28" s="7" t="s">
        <v>193</v>
      </c>
      <c r="E28" s="7" t="s">
        <v>548</v>
      </c>
      <c r="F28" s="7" t="s">
        <v>631</v>
      </c>
      <c r="H28" s="7" t="s">
        <v>199</v>
      </c>
    </row>
    <row r="29" customFormat="false" ht="15" hidden="false" customHeight="false" outlineLevel="0" collapsed="false">
      <c r="A29" s="7" t="s">
        <v>632</v>
      </c>
      <c r="B29" s="7" t="s">
        <v>620</v>
      </c>
      <c r="C29" s="7" t="s">
        <v>633</v>
      </c>
      <c r="D29" s="7" t="s">
        <v>214</v>
      </c>
      <c r="E29" s="7" t="s">
        <v>548</v>
      </c>
      <c r="F29" s="7" t="s">
        <v>634</v>
      </c>
      <c r="H29" s="7" t="s">
        <v>199</v>
      </c>
    </row>
    <row r="30" customFormat="false" ht="15" hidden="false" customHeight="false" outlineLevel="0" collapsed="false">
      <c r="A30" s="7" t="s">
        <v>635</v>
      </c>
      <c r="B30" s="7" t="s">
        <v>620</v>
      </c>
      <c r="C30" s="7" t="s">
        <v>636</v>
      </c>
      <c r="D30" s="7" t="s">
        <v>193</v>
      </c>
      <c r="E30" s="7" t="s">
        <v>548</v>
      </c>
      <c r="H30" s="7" t="s">
        <v>199</v>
      </c>
    </row>
    <row r="31" customFormat="false" ht="15" hidden="false" customHeight="false" outlineLevel="0" collapsed="false">
      <c r="A31" s="7" t="s">
        <v>637</v>
      </c>
      <c r="B31" s="7" t="s">
        <v>620</v>
      </c>
      <c r="C31" s="7" t="s">
        <v>638</v>
      </c>
      <c r="D31" s="7" t="s">
        <v>193</v>
      </c>
      <c r="E31" s="7" t="s">
        <v>548</v>
      </c>
      <c r="F31" s="7" t="s">
        <v>639</v>
      </c>
      <c r="G31" s="7" t="s">
        <v>510</v>
      </c>
      <c r="H31" s="7" t="s">
        <v>199</v>
      </c>
    </row>
    <row r="32" customFormat="false" ht="15" hidden="false" customHeight="false" outlineLevel="0" collapsed="false">
      <c r="A32" s="7" t="s">
        <v>640</v>
      </c>
      <c r="B32" s="7" t="s">
        <v>620</v>
      </c>
      <c r="C32" s="7" t="s">
        <v>641</v>
      </c>
      <c r="D32" s="7" t="s">
        <v>193</v>
      </c>
      <c r="E32" s="7" t="s">
        <v>548</v>
      </c>
      <c r="F32" s="7" t="s">
        <v>521</v>
      </c>
      <c r="H32" s="7" t="s">
        <v>269</v>
      </c>
    </row>
    <row r="33" customFormat="false" ht="15" hidden="false" customHeight="false" outlineLevel="0" collapsed="false">
      <c r="A33" s="7" t="s">
        <v>642</v>
      </c>
      <c r="B33" s="7" t="s">
        <v>620</v>
      </c>
      <c r="C33" s="7" t="s">
        <v>643</v>
      </c>
      <c r="D33" s="7" t="s">
        <v>193</v>
      </c>
      <c r="E33" s="7" t="s">
        <v>548</v>
      </c>
      <c r="F33" s="7" t="s">
        <v>644</v>
      </c>
      <c r="H33" s="7" t="s">
        <v>191</v>
      </c>
    </row>
    <row r="34" customFormat="false" ht="15" hidden="false" customHeight="false" outlineLevel="0" collapsed="false">
      <c r="A34" s="7" t="s">
        <v>645</v>
      </c>
      <c r="B34" s="7" t="s">
        <v>646</v>
      </c>
      <c r="C34" s="7" t="s">
        <v>647</v>
      </c>
      <c r="D34" s="7" t="s">
        <v>193</v>
      </c>
      <c r="E34" s="7" t="s">
        <v>548</v>
      </c>
      <c r="F34" s="7" t="s">
        <v>648</v>
      </c>
      <c r="G34" s="7" t="s">
        <v>506</v>
      </c>
      <c r="H34" s="7" t="s">
        <v>191</v>
      </c>
    </row>
    <row r="35" customFormat="false" ht="15" hidden="false" customHeight="false" outlineLevel="0" collapsed="false">
      <c r="A35" s="7" t="s">
        <v>649</v>
      </c>
      <c r="B35" s="7" t="s">
        <v>646</v>
      </c>
      <c r="C35" s="7" t="s">
        <v>650</v>
      </c>
      <c r="D35" s="7" t="s">
        <v>193</v>
      </c>
      <c r="E35" s="7" t="s">
        <v>548</v>
      </c>
      <c r="F35" s="7" t="s">
        <v>651</v>
      </c>
      <c r="H35" s="7" t="s">
        <v>191</v>
      </c>
    </row>
    <row r="36" customFormat="false" ht="15" hidden="false" customHeight="false" outlineLevel="0" collapsed="false">
      <c r="A36" s="7" t="s">
        <v>652</v>
      </c>
      <c r="B36" s="7" t="s">
        <v>646</v>
      </c>
      <c r="C36" s="7" t="s">
        <v>653</v>
      </c>
      <c r="D36" s="7" t="s">
        <v>193</v>
      </c>
      <c r="E36" s="7" t="s">
        <v>548</v>
      </c>
      <c r="F36" s="7" t="s">
        <v>654</v>
      </c>
      <c r="G36" s="7" t="s">
        <v>655</v>
      </c>
      <c r="H36" s="7" t="s">
        <v>209</v>
      </c>
    </row>
    <row r="37" customFormat="false" ht="15" hidden="false" customHeight="false" outlineLevel="0" collapsed="false">
      <c r="A37" s="7" t="s">
        <v>656</v>
      </c>
      <c r="B37" s="7" t="s">
        <v>646</v>
      </c>
      <c r="C37" s="7" t="s">
        <v>657</v>
      </c>
      <c r="D37" s="7" t="s">
        <v>193</v>
      </c>
      <c r="E37" s="7" t="s">
        <v>548</v>
      </c>
      <c r="F37" s="7" t="s">
        <v>654</v>
      </c>
      <c r="H37" s="7" t="s">
        <v>209</v>
      </c>
    </row>
    <row r="38" customFormat="false" ht="15" hidden="false" customHeight="false" outlineLevel="0" collapsed="false">
      <c r="A38" s="7" t="s">
        <v>658</v>
      </c>
      <c r="B38" s="7" t="s">
        <v>646</v>
      </c>
      <c r="C38" s="7" t="s">
        <v>659</v>
      </c>
      <c r="D38" s="7" t="s">
        <v>193</v>
      </c>
      <c r="E38" s="7" t="s">
        <v>548</v>
      </c>
      <c r="F38" s="7" t="s">
        <v>660</v>
      </c>
      <c r="H38" s="7" t="s">
        <v>209</v>
      </c>
    </row>
    <row r="39" customFormat="false" ht="15" hidden="false" customHeight="false" outlineLevel="0" collapsed="false">
      <c r="A39" s="7" t="s">
        <v>661</v>
      </c>
      <c r="B39" s="7" t="s">
        <v>646</v>
      </c>
      <c r="C39" s="7" t="s">
        <v>662</v>
      </c>
      <c r="D39" s="7" t="s">
        <v>193</v>
      </c>
      <c r="E39" s="7" t="s">
        <v>548</v>
      </c>
      <c r="F39" s="7" t="s">
        <v>663</v>
      </c>
      <c r="G39" s="7" t="s">
        <v>664</v>
      </c>
      <c r="H39" s="7" t="s">
        <v>209</v>
      </c>
    </row>
    <row r="40" customFormat="false" ht="15" hidden="false" customHeight="false" outlineLevel="0" collapsed="false">
      <c r="A40" s="7" t="s">
        <v>665</v>
      </c>
      <c r="B40" s="7" t="s">
        <v>646</v>
      </c>
      <c r="C40" s="7" t="s">
        <v>666</v>
      </c>
      <c r="D40" s="7" t="s">
        <v>193</v>
      </c>
      <c r="E40" s="7" t="s">
        <v>548</v>
      </c>
      <c r="F40" s="7" t="s">
        <v>644</v>
      </c>
      <c r="H40" s="7" t="s">
        <v>201</v>
      </c>
    </row>
    <row r="41" customFormat="false" ht="15" hidden="false" customHeight="false" outlineLevel="0" collapsed="false">
      <c r="A41" s="7" t="s">
        <v>667</v>
      </c>
      <c r="B41" s="7" t="s">
        <v>646</v>
      </c>
      <c r="C41" s="7" t="s">
        <v>668</v>
      </c>
      <c r="D41" s="7" t="s">
        <v>193</v>
      </c>
      <c r="E41" s="7" t="s">
        <v>548</v>
      </c>
      <c r="F41" s="7" t="s">
        <v>669</v>
      </c>
      <c r="H41" s="7" t="s">
        <v>201</v>
      </c>
    </row>
    <row r="42" customFormat="false" ht="15" hidden="false" customHeight="false" outlineLevel="0" collapsed="false">
      <c r="A42" s="7" t="s">
        <v>670</v>
      </c>
      <c r="B42" s="7" t="s">
        <v>646</v>
      </c>
      <c r="C42" s="7" t="s">
        <v>671</v>
      </c>
      <c r="D42" s="7" t="s">
        <v>193</v>
      </c>
      <c r="E42" s="7" t="s">
        <v>548</v>
      </c>
      <c r="F42" s="7" t="s">
        <v>644</v>
      </c>
      <c r="H42" s="7" t="s">
        <v>191</v>
      </c>
    </row>
    <row r="43" customFormat="false" ht="15" hidden="false" customHeight="false" outlineLevel="0" collapsed="false">
      <c r="A43" s="7" t="s">
        <v>672</v>
      </c>
      <c r="B43" s="7" t="s">
        <v>646</v>
      </c>
      <c r="C43" s="7" t="s">
        <v>673</v>
      </c>
      <c r="D43" s="7" t="s">
        <v>193</v>
      </c>
      <c r="E43" s="7" t="s">
        <v>548</v>
      </c>
      <c r="F43" s="7" t="s">
        <v>674</v>
      </c>
      <c r="H43" s="7" t="s">
        <v>191</v>
      </c>
    </row>
    <row r="44" customFormat="false" ht="15" hidden="false" customHeight="false" outlineLevel="0" collapsed="false">
      <c r="A44" s="7" t="s">
        <v>675</v>
      </c>
      <c r="B44" s="7" t="s">
        <v>646</v>
      </c>
      <c r="C44" s="7" t="s">
        <v>676</v>
      </c>
      <c r="D44" s="7" t="s">
        <v>193</v>
      </c>
      <c r="E44" s="7" t="s">
        <v>548</v>
      </c>
      <c r="F44" s="7" t="s">
        <v>677</v>
      </c>
      <c r="H44" s="7" t="s">
        <v>191</v>
      </c>
    </row>
    <row r="45" customFormat="false" ht="15" hidden="false" customHeight="false" outlineLevel="0" collapsed="false">
      <c r="A45" s="7" t="s">
        <v>678</v>
      </c>
      <c r="B45" s="7" t="s">
        <v>679</v>
      </c>
      <c r="C45" s="7" t="s">
        <v>680</v>
      </c>
      <c r="D45" s="7" t="s">
        <v>231</v>
      </c>
      <c r="E45" s="7" t="s">
        <v>552</v>
      </c>
      <c r="F45" s="7" t="s">
        <v>681</v>
      </c>
      <c r="G45" s="7" t="s">
        <v>682</v>
      </c>
    </row>
    <row r="46" customFormat="false" ht="15" hidden="false" customHeight="false" outlineLevel="0" collapsed="false">
      <c r="A46" s="7" t="s">
        <v>683</v>
      </c>
      <c r="B46" s="7" t="s">
        <v>679</v>
      </c>
      <c r="C46" s="7" t="s">
        <v>684</v>
      </c>
      <c r="D46" s="7" t="s">
        <v>193</v>
      </c>
      <c r="E46" s="7" t="s">
        <v>548</v>
      </c>
      <c r="F46" s="7" t="s">
        <v>685</v>
      </c>
      <c r="H46" s="7" t="s">
        <v>196</v>
      </c>
    </row>
    <row r="47" customFormat="false" ht="15" hidden="false" customHeight="false" outlineLevel="0" collapsed="false">
      <c r="A47" s="7" t="s">
        <v>686</v>
      </c>
      <c r="B47" s="7" t="s">
        <v>679</v>
      </c>
      <c r="C47" s="7" t="s">
        <v>687</v>
      </c>
      <c r="D47" s="7" t="s">
        <v>231</v>
      </c>
      <c r="E47" s="7" t="s">
        <v>552</v>
      </c>
      <c r="F47" s="7" t="s">
        <v>688</v>
      </c>
      <c r="G47" s="7" t="s">
        <v>689</v>
      </c>
    </row>
    <row r="48" customFormat="false" ht="15" hidden="false" customHeight="false" outlineLevel="0" collapsed="false">
      <c r="A48" s="7" t="s">
        <v>690</v>
      </c>
      <c r="B48" s="7" t="s">
        <v>679</v>
      </c>
      <c r="C48" s="7" t="s">
        <v>691</v>
      </c>
      <c r="D48" s="7" t="s">
        <v>231</v>
      </c>
      <c r="E48" s="7" t="s">
        <v>552</v>
      </c>
      <c r="G48" s="7" t="s">
        <v>689</v>
      </c>
    </row>
    <row r="49" customFormat="false" ht="15" hidden="false" customHeight="false" outlineLevel="0" collapsed="false">
      <c r="A49" s="7" t="s">
        <v>692</v>
      </c>
      <c r="B49" s="7" t="s">
        <v>679</v>
      </c>
      <c r="C49" s="7" t="s">
        <v>693</v>
      </c>
      <c r="D49" s="7" t="s">
        <v>231</v>
      </c>
      <c r="E49" s="7" t="s">
        <v>548</v>
      </c>
      <c r="H49" s="7" t="s">
        <v>226</v>
      </c>
    </row>
    <row r="50" customFormat="false" ht="15" hidden="false" customHeight="false" outlineLevel="0" collapsed="false">
      <c r="A50" s="7" t="s">
        <v>694</v>
      </c>
      <c r="B50" s="7" t="s">
        <v>679</v>
      </c>
      <c r="C50" s="7" t="s">
        <v>695</v>
      </c>
      <c r="D50" s="7" t="s">
        <v>239</v>
      </c>
      <c r="E50" s="7" t="s">
        <v>552</v>
      </c>
      <c r="F50" s="7" t="s">
        <v>696</v>
      </c>
      <c r="G50" s="7" t="s">
        <v>697</v>
      </c>
    </row>
    <row r="51" customFormat="false" ht="15" hidden="false" customHeight="false" outlineLevel="0" collapsed="false">
      <c r="A51" s="7" t="s">
        <v>698</v>
      </c>
      <c r="B51" s="7" t="s">
        <v>679</v>
      </c>
      <c r="C51" s="7" t="s">
        <v>699</v>
      </c>
      <c r="D51" s="7" t="s">
        <v>214</v>
      </c>
      <c r="E51" s="7" t="s">
        <v>552</v>
      </c>
      <c r="F51" s="7" t="s">
        <v>696</v>
      </c>
      <c r="G51" s="7" t="s">
        <v>700</v>
      </c>
    </row>
    <row r="52" customFormat="false" ht="15" hidden="false" customHeight="false" outlineLevel="0" collapsed="false">
      <c r="A52" s="7" t="s">
        <v>701</v>
      </c>
      <c r="B52" s="7" t="s">
        <v>679</v>
      </c>
      <c r="C52" s="7" t="s">
        <v>702</v>
      </c>
      <c r="D52" s="7" t="s">
        <v>231</v>
      </c>
      <c r="E52" s="7" t="s">
        <v>552</v>
      </c>
      <c r="F52" s="7" t="s">
        <v>703</v>
      </c>
      <c r="G52" s="7" t="s">
        <v>704</v>
      </c>
    </row>
    <row r="53" customFormat="false" ht="15" hidden="false" customHeight="false" outlineLevel="0" collapsed="false">
      <c r="A53" s="7" t="s">
        <v>705</v>
      </c>
      <c r="B53" s="7" t="s">
        <v>679</v>
      </c>
      <c r="C53" s="7" t="s">
        <v>706</v>
      </c>
      <c r="D53" s="7" t="s">
        <v>231</v>
      </c>
      <c r="E53" s="7" t="s">
        <v>552</v>
      </c>
      <c r="G53" s="7" t="s">
        <v>704</v>
      </c>
    </row>
    <row r="54" customFormat="false" ht="15" hidden="false" customHeight="false" outlineLevel="0" collapsed="false">
      <c r="A54" s="7" t="s">
        <v>707</v>
      </c>
      <c r="B54" s="7" t="s">
        <v>679</v>
      </c>
      <c r="C54" s="7" t="s">
        <v>708</v>
      </c>
      <c r="D54" s="7" t="s">
        <v>231</v>
      </c>
      <c r="E54" s="7" t="s">
        <v>552</v>
      </c>
      <c r="F54" s="7" t="s">
        <v>709</v>
      </c>
    </row>
    <row r="55" customFormat="false" ht="15" hidden="false" customHeight="false" outlineLevel="0" collapsed="false">
      <c r="A55" s="7" t="s">
        <v>710</v>
      </c>
      <c r="B55" s="7" t="s">
        <v>679</v>
      </c>
      <c r="C55" s="7" t="s">
        <v>711</v>
      </c>
      <c r="D55" s="7" t="s">
        <v>214</v>
      </c>
      <c r="E55" s="7" t="s">
        <v>552</v>
      </c>
      <c r="F55" s="7" t="s">
        <v>696</v>
      </c>
      <c r="G55" s="7" t="s">
        <v>712</v>
      </c>
    </row>
    <row r="56" customFormat="false" ht="15" hidden="false" customHeight="false" outlineLevel="0" collapsed="false">
      <c r="A56" s="7" t="s">
        <v>713</v>
      </c>
      <c r="B56" s="7" t="s">
        <v>714</v>
      </c>
      <c r="C56" s="7" t="s">
        <v>715</v>
      </c>
      <c r="D56" s="7" t="s">
        <v>214</v>
      </c>
      <c r="E56" s="7" t="s">
        <v>548</v>
      </c>
      <c r="F56" s="7" t="s">
        <v>716</v>
      </c>
      <c r="H56" s="7" t="s">
        <v>212</v>
      </c>
    </row>
    <row r="57" customFormat="false" ht="15" hidden="false" customHeight="false" outlineLevel="0" collapsed="false">
      <c r="A57" s="7" t="s">
        <v>717</v>
      </c>
      <c r="B57" s="7" t="s">
        <v>714</v>
      </c>
      <c r="C57" s="7" t="s">
        <v>718</v>
      </c>
      <c r="D57" s="7" t="s">
        <v>214</v>
      </c>
      <c r="E57" s="7" t="s">
        <v>548</v>
      </c>
      <c r="F57" s="7" t="s">
        <v>719</v>
      </c>
      <c r="H57" s="7" t="s">
        <v>212</v>
      </c>
    </row>
    <row r="58" customFormat="false" ht="15" hidden="false" customHeight="false" outlineLevel="0" collapsed="false">
      <c r="A58" s="7" t="s">
        <v>720</v>
      </c>
      <c r="B58" s="7" t="s">
        <v>714</v>
      </c>
      <c r="C58" s="7" t="s">
        <v>721</v>
      </c>
      <c r="D58" s="7" t="s">
        <v>214</v>
      </c>
      <c r="E58" s="7" t="s">
        <v>548</v>
      </c>
      <c r="F58" s="7" t="s">
        <v>722</v>
      </c>
      <c r="H58" s="7" t="s">
        <v>203</v>
      </c>
    </row>
    <row r="59" customFormat="false" ht="15" hidden="false" customHeight="false" outlineLevel="0" collapsed="false">
      <c r="A59" s="7" t="s">
        <v>723</v>
      </c>
      <c r="B59" s="7" t="s">
        <v>714</v>
      </c>
      <c r="C59" s="7" t="s">
        <v>724</v>
      </c>
      <c r="D59" s="7" t="s">
        <v>214</v>
      </c>
      <c r="E59" s="7" t="s">
        <v>725</v>
      </c>
      <c r="G59" s="7" t="s">
        <v>726</v>
      </c>
      <c r="H59" s="7" t="s">
        <v>212</v>
      </c>
    </row>
    <row r="60" customFormat="false" ht="15" hidden="false" customHeight="false" outlineLevel="0" collapsed="false">
      <c r="A60" s="7" t="s">
        <v>727</v>
      </c>
      <c r="B60" s="7" t="s">
        <v>728</v>
      </c>
      <c r="C60" s="7" t="s">
        <v>729</v>
      </c>
      <c r="D60" s="7" t="s">
        <v>218</v>
      </c>
      <c r="E60" s="7" t="s">
        <v>548</v>
      </c>
      <c r="F60" s="7" t="s">
        <v>730</v>
      </c>
      <c r="G60" s="7" t="s">
        <v>506</v>
      </c>
      <c r="H60" s="7" t="s">
        <v>216</v>
      </c>
    </row>
    <row r="61" customFormat="false" ht="15" hidden="false" customHeight="false" outlineLevel="0" collapsed="false">
      <c r="A61" s="7" t="s">
        <v>731</v>
      </c>
      <c r="B61" s="7" t="s">
        <v>728</v>
      </c>
      <c r="C61" s="7" t="s">
        <v>732</v>
      </c>
      <c r="D61" s="7" t="s">
        <v>218</v>
      </c>
      <c r="E61" s="7" t="s">
        <v>548</v>
      </c>
      <c r="F61" s="7" t="s">
        <v>733</v>
      </c>
      <c r="H61" s="7" t="s">
        <v>216</v>
      </c>
    </row>
    <row r="62" customFormat="false" ht="15" hidden="false" customHeight="false" outlineLevel="0" collapsed="false">
      <c r="A62" s="7" t="s">
        <v>734</v>
      </c>
      <c r="B62" s="7" t="s">
        <v>728</v>
      </c>
      <c r="C62" s="7" t="s">
        <v>735</v>
      </c>
      <c r="D62" s="7" t="s">
        <v>218</v>
      </c>
      <c r="E62" s="7" t="s">
        <v>548</v>
      </c>
      <c r="F62" s="7" t="s">
        <v>736</v>
      </c>
      <c r="H62" s="7" t="s">
        <v>216</v>
      </c>
    </row>
    <row r="63" customFormat="false" ht="15" hidden="false" customHeight="false" outlineLevel="0" collapsed="false">
      <c r="A63" s="7" t="s">
        <v>737</v>
      </c>
      <c r="B63" s="7" t="s">
        <v>728</v>
      </c>
      <c r="C63" s="7" t="s">
        <v>738</v>
      </c>
      <c r="D63" s="7" t="s">
        <v>218</v>
      </c>
      <c r="E63" s="7" t="s">
        <v>548</v>
      </c>
      <c r="F63" s="7" t="s">
        <v>736</v>
      </c>
      <c r="H63" s="7" t="s">
        <v>216</v>
      </c>
    </row>
    <row r="64" customFormat="false" ht="15" hidden="false" customHeight="false" outlineLevel="0" collapsed="false">
      <c r="A64" s="7" t="s">
        <v>739</v>
      </c>
      <c r="B64" s="7" t="s">
        <v>728</v>
      </c>
      <c r="C64" s="7" t="s">
        <v>740</v>
      </c>
      <c r="D64" s="7" t="s">
        <v>218</v>
      </c>
      <c r="E64" s="7" t="s">
        <v>548</v>
      </c>
      <c r="G64" s="7" t="s">
        <v>506</v>
      </c>
      <c r="H64" s="7" t="s">
        <v>216</v>
      </c>
    </row>
    <row r="65" customFormat="false" ht="15" hidden="false" customHeight="false" outlineLevel="0" collapsed="false">
      <c r="A65" s="7" t="s">
        <v>741</v>
      </c>
      <c r="B65" s="7" t="s">
        <v>728</v>
      </c>
      <c r="C65" s="7" t="s">
        <v>742</v>
      </c>
      <c r="D65" s="7" t="s">
        <v>218</v>
      </c>
      <c r="E65" s="7" t="s">
        <v>548</v>
      </c>
      <c r="F65" s="7" t="s">
        <v>730</v>
      </c>
      <c r="H65" s="7" t="s">
        <v>216</v>
      </c>
    </row>
    <row r="66" customFormat="false" ht="15" hidden="false" customHeight="false" outlineLevel="0" collapsed="false">
      <c r="A66" s="7" t="s">
        <v>743</v>
      </c>
      <c r="B66" s="7" t="s">
        <v>728</v>
      </c>
      <c r="C66" s="7" t="s">
        <v>744</v>
      </c>
      <c r="D66" s="7" t="s">
        <v>218</v>
      </c>
      <c r="E66" s="7" t="s">
        <v>548</v>
      </c>
      <c r="F66" s="7" t="s">
        <v>730</v>
      </c>
      <c r="H66" s="7" t="s">
        <v>216</v>
      </c>
    </row>
    <row r="67" customFormat="false" ht="15" hidden="false" customHeight="false" outlineLevel="0" collapsed="false">
      <c r="A67" s="7" t="s">
        <v>745</v>
      </c>
      <c r="B67" s="7" t="s">
        <v>728</v>
      </c>
      <c r="C67" s="7" t="s">
        <v>746</v>
      </c>
      <c r="D67" s="7" t="s">
        <v>239</v>
      </c>
      <c r="E67" s="7" t="s">
        <v>725</v>
      </c>
      <c r="G67" s="7" t="s">
        <v>506</v>
      </c>
      <c r="H67" s="7" t="s">
        <v>237</v>
      </c>
    </row>
    <row r="68" customFormat="false" ht="15" hidden="false" customHeight="false" outlineLevel="0" collapsed="false">
      <c r="A68" s="7" t="s">
        <v>747</v>
      </c>
      <c r="B68" s="7" t="s">
        <v>748</v>
      </c>
      <c r="C68" s="7" t="s">
        <v>749</v>
      </c>
      <c r="D68" s="7" t="s">
        <v>218</v>
      </c>
      <c r="E68" s="7" t="s">
        <v>548</v>
      </c>
      <c r="F68" s="7" t="s">
        <v>750</v>
      </c>
      <c r="G68" s="7" t="s">
        <v>506</v>
      </c>
      <c r="H68" s="7" t="s">
        <v>220</v>
      </c>
    </row>
    <row r="69" customFormat="false" ht="15" hidden="false" customHeight="false" outlineLevel="0" collapsed="false">
      <c r="A69" s="7" t="s">
        <v>751</v>
      </c>
      <c r="B69" s="7" t="s">
        <v>748</v>
      </c>
      <c r="C69" s="7" t="s">
        <v>752</v>
      </c>
      <c r="D69" s="7" t="s">
        <v>218</v>
      </c>
      <c r="E69" s="7" t="s">
        <v>548</v>
      </c>
      <c r="F69" s="7" t="s">
        <v>750</v>
      </c>
      <c r="G69" s="7" t="s">
        <v>506</v>
      </c>
      <c r="H69" s="7" t="s">
        <v>220</v>
      </c>
    </row>
    <row r="70" customFormat="false" ht="15" hidden="false" customHeight="false" outlineLevel="0" collapsed="false">
      <c r="A70" s="7" t="s">
        <v>753</v>
      </c>
      <c r="B70" s="7" t="s">
        <v>748</v>
      </c>
      <c r="C70" s="7" t="s">
        <v>754</v>
      </c>
      <c r="D70" s="7" t="s">
        <v>218</v>
      </c>
      <c r="E70" s="7" t="s">
        <v>548</v>
      </c>
      <c r="G70" s="7" t="s">
        <v>506</v>
      </c>
      <c r="H70" s="7" t="s">
        <v>220</v>
      </c>
    </row>
    <row r="71" customFormat="false" ht="15" hidden="false" customHeight="false" outlineLevel="0" collapsed="false">
      <c r="A71" s="7" t="s">
        <v>755</v>
      </c>
      <c r="B71" s="7" t="s">
        <v>748</v>
      </c>
      <c r="C71" s="7" t="s">
        <v>756</v>
      </c>
      <c r="D71" s="7" t="s">
        <v>218</v>
      </c>
      <c r="E71" s="7" t="s">
        <v>548</v>
      </c>
      <c r="F71" s="7" t="s">
        <v>750</v>
      </c>
      <c r="H71" s="7" t="s">
        <v>220</v>
      </c>
    </row>
    <row r="72" customFormat="false" ht="15" hidden="false" customHeight="false" outlineLevel="0" collapsed="false">
      <c r="A72" s="7" t="s">
        <v>757</v>
      </c>
      <c r="B72" s="7" t="s">
        <v>748</v>
      </c>
      <c r="C72" s="7" t="s">
        <v>758</v>
      </c>
      <c r="D72" s="7" t="s">
        <v>218</v>
      </c>
      <c r="E72" s="7" t="s">
        <v>552</v>
      </c>
      <c r="F72" s="7" t="s">
        <v>759</v>
      </c>
      <c r="G72" s="7" t="s">
        <v>760</v>
      </c>
    </row>
    <row r="73" customFormat="false" ht="15" hidden="false" customHeight="false" outlineLevel="0" collapsed="false">
      <c r="A73" s="7" t="s">
        <v>761</v>
      </c>
      <c r="B73" s="7" t="s">
        <v>748</v>
      </c>
      <c r="C73" s="7" t="s">
        <v>762</v>
      </c>
      <c r="D73" s="7" t="s">
        <v>218</v>
      </c>
      <c r="E73" s="7" t="s">
        <v>548</v>
      </c>
      <c r="F73" s="7" t="s">
        <v>521</v>
      </c>
      <c r="H73" s="7" t="s">
        <v>223</v>
      </c>
    </row>
    <row r="74" customFormat="false" ht="15" hidden="false" customHeight="false" outlineLevel="0" collapsed="false">
      <c r="A74" s="7" t="s">
        <v>763</v>
      </c>
      <c r="B74" s="7" t="s">
        <v>748</v>
      </c>
      <c r="C74" s="7" t="s">
        <v>764</v>
      </c>
      <c r="D74" s="7" t="s">
        <v>218</v>
      </c>
      <c r="E74" s="7" t="s">
        <v>548</v>
      </c>
      <c r="H74" s="7" t="s">
        <v>223</v>
      </c>
    </row>
    <row r="75" customFormat="false" ht="15" hidden="false" customHeight="false" outlineLevel="0" collapsed="false">
      <c r="A75" s="7" t="s">
        <v>765</v>
      </c>
      <c r="B75" s="7" t="s">
        <v>748</v>
      </c>
      <c r="C75" s="7" t="s">
        <v>766</v>
      </c>
      <c r="D75" s="7" t="s">
        <v>176</v>
      </c>
      <c r="E75" s="7" t="s">
        <v>550</v>
      </c>
    </row>
    <row r="76" customFormat="false" ht="15" hidden="false" customHeight="false" outlineLevel="0" collapsed="false">
      <c r="A76" s="7" t="s">
        <v>767</v>
      </c>
      <c r="B76" s="7" t="s">
        <v>748</v>
      </c>
      <c r="C76" s="7" t="s">
        <v>768</v>
      </c>
      <c r="D76" s="7" t="s">
        <v>176</v>
      </c>
      <c r="E76" s="7" t="s">
        <v>550</v>
      </c>
    </row>
    <row r="77" customFormat="false" ht="15" hidden="false" customHeight="false" outlineLevel="0" collapsed="false">
      <c r="A77" s="7" t="s">
        <v>769</v>
      </c>
      <c r="B77" s="7" t="s">
        <v>770</v>
      </c>
      <c r="C77" s="7" t="s">
        <v>771</v>
      </c>
      <c r="D77" s="7" t="s">
        <v>231</v>
      </c>
      <c r="E77" s="7" t="s">
        <v>725</v>
      </c>
      <c r="F77" s="7" t="s">
        <v>523</v>
      </c>
      <c r="G77" s="7" t="s">
        <v>772</v>
      </c>
      <c r="H77" s="7" t="s">
        <v>229</v>
      </c>
    </row>
    <row r="78" customFormat="false" ht="15" hidden="false" customHeight="false" outlineLevel="0" collapsed="false">
      <c r="A78" s="7" t="s">
        <v>773</v>
      </c>
      <c r="B78" s="7" t="s">
        <v>770</v>
      </c>
      <c r="C78" s="7" t="s">
        <v>774</v>
      </c>
      <c r="D78" s="7" t="s">
        <v>231</v>
      </c>
      <c r="E78" s="7" t="s">
        <v>725</v>
      </c>
      <c r="F78" s="7" t="s">
        <v>775</v>
      </c>
      <c r="H78" s="7" t="s">
        <v>226</v>
      </c>
    </row>
    <row r="79" customFormat="false" ht="15" hidden="false" customHeight="false" outlineLevel="0" collapsed="false">
      <c r="A79" s="7" t="s">
        <v>776</v>
      </c>
      <c r="B79" s="7" t="s">
        <v>770</v>
      </c>
      <c r="C79" s="7" t="s">
        <v>777</v>
      </c>
      <c r="D79" s="7" t="s">
        <v>231</v>
      </c>
      <c r="E79" s="7" t="s">
        <v>548</v>
      </c>
      <c r="G79" s="7" t="s">
        <v>506</v>
      </c>
      <c r="H79" s="7" t="s">
        <v>229</v>
      </c>
    </row>
    <row r="80" customFormat="false" ht="15" hidden="false" customHeight="false" outlineLevel="0" collapsed="false">
      <c r="A80" s="7" t="s">
        <v>778</v>
      </c>
      <c r="B80" s="7" t="s">
        <v>779</v>
      </c>
      <c r="C80" s="7" t="s">
        <v>780</v>
      </c>
      <c r="D80" s="7" t="s">
        <v>214</v>
      </c>
      <c r="E80" s="7" t="s">
        <v>548</v>
      </c>
      <c r="G80" s="7" t="s">
        <v>781</v>
      </c>
      <c r="H80" s="7" t="s">
        <v>233</v>
      </c>
    </row>
    <row r="81" customFormat="false" ht="15" hidden="false" customHeight="false" outlineLevel="0" collapsed="false">
      <c r="A81" s="7" t="s">
        <v>782</v>
      </c>
      <c r="B81" s="7" t="s">
        <v>779</v>
      </c>
      <c r="C81" s="7" t="s">
        <v>783</v>
      </c>
      <c r="D81" s="7" t="s">
        <v>214</v>
      </c>
      <c r="E81" s="7" t="s">
        <v>548</v>
      </c>
      <c r="G81" s="7" t="s">
        <v>784</v>
      </c>
      <c r="H81" s="7" t="s">
        <v>233</v>
      </c>
    </row>
    <row r="82" customFormat="false" ht="15" hidden="false" customHeight="false" outlineLevel="0" collapsed="false">
      <c r="A82" s="7" t="s">
        <v>785</v>
      </c>
      <c r="B82" s="7" t="s">
        <v>779</v>
      </c>
      <c r="C82" s="7" t="s">
        <v>786</v>
      </c>
      <c r="D82" s="7" t="s">
        <v>214</v>
      </c>
      <c r="E82" s="7" t="s">
        <v>548</v>
      </c>
      <c r="G82" s="7" t="s">
        <v>787</v>
      </c>
      <c r="H82" s="7" t="s">
        <v>233</v>
      </c>
    </row>
    <row r="83" customFormat="false" ht="15" hidden="false" customHeight="false" outlineLevel="0" collapsed="false">
      <c r="A83" s="7" t="s">
        <v>788</v>
      </c>
      <c r="B83" s="7" t="s">
        <v>779</v>
      </c>
      <c r="C83" s="7" t="s">
        <v>789</v>
      </c>
      <c r="D83" s="7" t="s">
        <v>214</v>
      </c>
      <c r="E83" s="7" t="s">
        <v>548</v>
      </c>
      <c r="F83" s="7" t="s">
        <v>790</v>
      </c>
      <c r="H83" s="7" t="s">
        <v>209</v>
      </c>
    </row>
    <row r="84" customFormat="false" ht="15" hidden="false" customHeight="false" outlineLevel="0" collapsed="false">
      <c r="A84" s="7" t="s">
        <v>791</v>
      </c>
      <c r="B84" s="7" t="s">
        <v>779</v>
      </c>
      <c r="C84" s="7" t="s">
        <v>792</v>
      </c>
      <c r="D84" s="7" t="s">
        <v>239</v>
      </c>
      <c r="E84" s="7" t="s">
        <v>725</v>
      </c>
      <c r="G84" s="7" t="s">
        <v>712</v>
      </c>
      <c r="H84" s="7" t="s">
        <v>233</v>
      </c>
    </row>
    <row r="85" customFormat="false" ht="15" hidden="false" customHeight="false" outlineLevel="0" collapsed="false">
      <c r="A85" s="7" t="s">
        <v>793</v>
      </c>
      <c r="B85" s="7" t="s">
        <v>590</v>
      </c>
      <c r="C85" s="7" t="s">
        <v>794</v>
      </c>
      <c r="D85" s="7" t="s">
        <v>193</v>
      </c>
      <c r="E85" s="7" t="s">
        <v>548</v>
      </c>
      <c r="F85" s="7" t="s">
        <v>795</v>
      </c>
      <c r="G85" s="7" t="s">
        <v>796</v>
      </c>
      <c r="H85" s="7" t="s">
        <v>263</v>
      </c>
    </row>
    <row r="86" customFormat="false" ht="15" hidden="false" customHeight="false" outlineLevel="0" collapsed="false">
      <c r="A86" s="7" t="s">
        <v>797</v>
      </c>
      <c r="B86" s="7" t="s">
        <v>590</v>
      </c>
      <c r="C86" s="7" t="s">
        <v>798</v>
      </c>
      <c r="D86" s="7" t="s">
        <v>193</v>
      </c>
      <c r="E86" s="7" t="s">
        <v>548</v>
      </c>
      <c r="F86" s="7" t="s">
        <v>799</v>
      </c>
      <c r="H86" s="7" t="s">
        <v>269</v>
      </c>
    </row>
    <row r="87" customFormat="false" ht="15" hidden="false" customHeight="false" outlineLevel="0" collapsed="false">
      <c r="A87" s="7" t="s">
        <v>800</v>
      </c>
      <c r="B87" s="7" t="s">
        <v>590</v>
      </c>
      <c r="C87" s="7" t="s">
        <v>801</v>
      </c>
      <c r="D87" s="7" t="s">
        <v>193</v>
      </c>
      <c r="E87" s="7" t="s">
        <v>548</v>
      </c>
      <c r="H87" s="7" t="s">
        <v>269</v>
      </c>
    </row>
    <row r="88" customFormat="false" ht="15" hidden="false" customHeight="false" outlineLevel="0" collapsed="false">
      <c r="A88" s="7" t="s">
        <v>802</v>
      </c>
      <c r="B88" s="7" t="s">
        <v>590</v>
      </c>
      <c r="C88" s="7" t="s">
        <v>803</v>
      </c>
      <c r="D88" s="7" t="s">
        <v>214</v>
      </c>
      <c r="E88" s="7" t="s">
        <v>548</v>
      </c>
      <c r="F88" s="7" t="s">
        <v>536</v>
      </c>
      <c r="H88" s="7" t="s">
        <v>275</v>
      </c>
    </row>
    <row r="89" customFormat="false" ht="15" hidden="false" customHeight="false" outlineLevel="0" collapsed="false">
      <c r="A89" s="7" t="s">
        <v>804</v>
      </c>
      <c r="B89" s="7" t="s">
        <v>590</v>
      </c>
      <c r="C89" s="7" t="s">
        <v>805</v>
      </c>
      <c r="D89" s="7" t="s">
        <v>193</v>
      </c>
      <c r="E89" s="7" t="s">
        <v>548</v>
      </c>
      <c r="F89" s="7" t="s">
        <v>806</v>
      </c>
      <c r="H89" s="7" t="s">
        <v>269</v>
      </c>
    </row>
    <row r="90" customFormat="false" ht="15" hidden="false" customHeight="false" outlineLevel="0" collapsed="false">
      <c r="A90" s="7" t="s">
        <v>807</v>
      </c>
      <c r="B90" s="7" t="s">
        <v>590</v>
      </c>
      <c r="C90" s="7" t="s">
        <v>808</v>
      </c>
      <c r="D90" s="7" t="s">
        <v>193</v>
      </c>
      <c r="E90" s="7" t="s">
        <v>548</v>
      </c>
      <c r="F90" s="7" t="s">
        <v>809</v>
      </c>
      <c r="G90" s="7" t="s">
        <v>506</v>
      </c>
      <c r="H90" s="7" t="s">
        <v>196</v>
      </c>
    </row>
    <row r="91" customFormat="false" ht="15" hidden="false" customHeight="false" outlineLevel="0" collapsed="false">
      <c r="A91" s="7" t="s">
        <v>810</v>
      </c>
      <c r="B91" s="7" t="s">
        <v>620</v>
      </c>
      <c r="C91" s="7" t="s">
        <v>811</v>
      </c>
      <c r="D91" s="7" t="s">
        <v>193</v>
      </c>
      <c r="E91" s="7" t="s">
        <v>548</v>
      </c>
      <c r="F91" s="7" t="s">
        <v>812</v>
      </c>
      <c r="H91" s="7" t="s">
        <v>199</v>
      </c>
    </row>
    <row r="92" customFormat="false" ht="15" hidden="false" customHeight="false" outlineLevel="0" collapsed="false">
      <c r="A92" s="7" t="s">
        <v>813</v>
      </c>
      <c r="B92" s="7" t="s">
        <v>620</v>
      </c>
      <c r="C92" s="7" t="s">
        <v>814</v>
      </c>
      <c r="D92" s="7" t="s">
        <v>218</v>
      </c>
      <c r="E92" s="7" t="s">
        <v>548</v>
      </c>
      <c r="F92" s="7" t="s">
        <v>815</v>
      </c>
      <c r="H92" s="7" t="s">
        <v>216</v>
      </c>
    </row>
    <row r="93" customFormat="false" ht="15" hidden="false" customHeight="false" outlineLevel="0" collapsed="false">
      <c r="A93" s="7" t="s">
        <v>816</v>
      </c>
      <c r="B93" s="7" t="s">
        <v>620</v>
      </c>
      <c r="C93" s="7" t="s">
        <v>817</v>
      </c>
      <c r="D93" s="7" t="s">
        <v>193</v>
      </c>
      <c r="E93" s="7" t="s">
        <v>548</v>
      </c>
      <c r="F93" s="7" t="s">
        <v>818</v>
      </c>
      <c r="H93" s="7" t="s">
        <v>191</v>
      </c>
    </row>
    <row r="94" customFormat="false" ht="15" hidden="false" customHeight="false" outlineLevel="0" collapsed="false">
      <c r="A94" s="7" t="s">
        <v>819</v>
      </c>
      <c r="B94" s="7" t="s">
        <v>646</v>
      </c>
      <c r="C94" s="7" t="s">
        <v>820</v>
      </c>
      <c r="D94" s="7" t="s">
        <v>193</v>
      </c>
      <c r="E94" s="7" t="s">
        <v>548</v>
      </c>
      <c r="F94" s="7" t="s">
        <v>821</v>
      </c>
      <c r="G94" s="7" t="s">
        <v>712</v>
      </c>
      <c r="H94" s="7" t="s">
        <v>209</v>
      </c>
    </row>
    <row r="95" customFormat="false" ht="15" hidden="false" customHeight="false" outlineLevel="0" collapsed="false">
      <c r="A95" s="7" t="s">
        <v>822</v>
      </c>
      <c r="B95" s="7" t="s">
        <v>646</v>
      </c>
      <c r="C95" s="7" t="s">
        <v>823</v>
      </c>
      <c r="D95" s="7" t="s">
        <v>193</v>
      </c>
      <c r="E95" s="7" t="s">
        <v>548</v>
      </c>
      <c r="F95" s="7" t="s">
        <v>663</v>
      </c>
      <c r="G95" s="7" t="s">
        <v>824</v>
      </c>
      <c r="H95" s="7" t="s">
        <v>272</v>
      </c>
    </row>
    <row r="96" customFormat="false" ht="15" hidden="false" customHeight="false" outlineLevel="0" collapsed="false">
      <c r="A96" s="7" t="s">
        <v>825</v>
      </c>
      <c r="B96" s="7" t="s">
        <v>646</v>
      </c>
      <c r="C96" s="7" t="s">
        <v>826</v>
      </c>
      <c r="D96" s="7" t="s">
        <v>193</v>
      </c>
      <c r="E96" s="7" t="s">
        <v>548</v>
      </c>
      <c r="F96" s="7" t="s">
        <v>827</v>
      </c>
      <c r="H96" s="7" t="s">
        <v>272</v>
      </c>
    </row>
    <row r="97" customFormat="false" ht="15" hidden="false" customHeight="false" outlineLevel="0" collapsed="false">
      <c r="A97" s="7" t="s">
        <v>828</v>
      </c>
      <c r="B97" s="7" t="s">
        <v>646</v>
      </c>
      <c r="C97" s="7" t="s">
        <v>829</v>
      </c>
      <c r="D97" s="7" t="s">
        <v>193</v>
      </c>
      <c r="E97" s="7" t="s">
        <v>548</v>
      </c>
      <c r="F97" s="7" t="s">
        <v>830</v>
      </c>
      <c r="G97" s="7" t="s">
        <v>712</v>
      </c>
      <c r="H97" s="7" t="s">
        <v>272</v>
      </c>
    </row>
    <row r="98" customFormat="false" ht="15" hidden="false" customHeight="false" outlineLevel="0" collapsed="false">
      <c r="A98" s="7" t="s">
        <v>831</v>
      </c>
      <c r="B98" s="7" t="s">
        <v>646</v>
      </c>
      <c r="C98" s="7" t="s">
        <v>832</v>
      </c>
      <c r="D98" s="7" t="s">
        <v>193</v>
      </c>
      <c r="E98" s="7" t="s">
        <v>725</v>
      </c>
      <c r="F98" s="7" t="s">
        <v>833</v>
      </c>
      <c r="G98" s="7" t="s">
        <v>655</v>
      </c>
      <c r="H98" s="7" t="s">
        <v>272</v>
      </c>
    </row>
    <row r="99" customFormat="false" ht="15" hidden="false" customHeight="false" outlineLevel="0" collapsed="false">
      <c r="A99" s="7" t="s">
        <v>834</v>
      </c>
      <c r="B99" s="7" t="s">
        <v>646</v>
      </c>
      <c r="C99" s="7" t="s">
        <v>835</v>
      </c>
      <c r="D99" s="7" t="s">
        <v>193</v>
      </c>
      <c r="E99" s="7" t="s">
        <v>548</v>
      </c>
      <c r="F99" s="7" t="s">
        <v>836</v>
      </c>
      <c r="H99" s="7" t="s">
        <v>191</v>
      </c>
    </row>
    <row r="100" customFormat="false" ht="15" hidden="false" customHeight="false" outlineLevel="0" collapsed="false">
      <c r="A100" s="7" t="s">
        <v>837</v>
      </c>
      <c r="B100" s="7" t="s">
        <v>646</v>
      </c>
      <c r="C100" s="7" t="s">
        <v>838</v>
      </c>
      <c r="D100" s="7" t="s">
        <v>193</v>
      </c>
      <c r="E100" s="7" t="s">
        <v>548</v>
      </c>
      <c r="F100" s="7" t="s">
        <v>839</v>
      </c>
      <c r="G100" s="7" t="s">
        <v>506</v>
      </c>
      <c r="H100" s="7" t="s">
        <v>191</v>
      </c>
    </row>
    <row r="101" customFormat="false" ht="15" hidden="false" customHeight="false" outlineLevel="0" collapsed="false">
      <c r="A101" s="7" t="s">
        <v>840</v>
      </c>
      <c r="B101" s="7" t="s">
        <v>679</v>
      </c>
      <c r="C101" s="7" t="s">
        <v>841</v>
      </c>
      <c r="D101" s="7" t="s">
        <v>214</v>
      </c>
      <c r="E101" s="7" t="s">
        <v>552</v>
      </c>
      <c r="F101" s="7" t="s">
        <v>842</v>
      </c>
      <c r="G101" s="7" t="s">
        <v>843</v>
      </c>
    </row>
    <row r="102" customFormat="false" ht="15" hidden="false" customHeight="false" outlineLevel="0" collapsed="false">
      <c r="A102" s="7" t="s">
        <v>844</v>
      </c>
      <c r="B102" s="7" t="s">
        <v>679</v>
      </c>
      <c r="C102" s="7" t="s">
        <v>845</v>
      </c>
      <c r="D102" s="7" t="s">
        <v>231</v>
      </c>
      <c r="E102" s="7" t="s">
        <v>552</v>
      </c>
      <c r="F102" s="7" t="s">
        <v>846</v>
      </c>
      <c r="G102" s="7" t="s">
        <v>682</v>
      </c>
    </row>
    <row r="103" customFormat="false" ht="15" hidden="false" customHeight="false" outlineLevel="0" collapsed="false">
      <c r="A103" s="7" t="s">
        <v>847</v>
      </c>
      <c r="B103" s="7" t="s">
        <v>679</v>
      </c>
      <c r="C103" s="7" t="s">
        <v>848</v>
      </c>
      <c r="D103" s="7" t="s">
        <v>231</v>
      </c>
      <c r="E103" s="7" t="s">
        <v>552</v>
      </c>
      <c r="F103" s="7" t="s">
        <v>849</v>
      </c>
      <c r="G103" s="7" t="s">
        <v>689</v>
      </c>
    </row>
    <row r="104" customFormat="false" ht="15" hidden="false" customHeight="false" outlineLevel="0" collapsed="false">
      <c r="A104" s="7" t="s">
        <v>850</v>
      </c>
      <c r="B104" s="7" t="s">
        <v>679</v>
      </c>
      <c r="C104" s="7" t="s">
        <v>851</v>
      </c>
      <c r="D104" s="7" t="s">
        <v>193</v>
      </c>
      <c r="E104" s="7" t="s">
        <v>548</v>
      </c>
      <c r="F104" s="7" t="s">
        <v>852</v>
      </c>
      <c r="H104" s="7" t="s">
        <v>196</v>
      </c>
    </row>
    <row r="105" customFormat="false" ht="15" hidden="false" customHeight="false" outlineLevel="0" collapsed="false">
      <c r="A105" s="7" t="s">
        <v>853</v>
      </c>
      <c r="B105" s="7" t="s">
        <v>679</v>
      </c>
      <c r="C105" s="7" t="s">
        <v>854</v>
      </c>
      <c r="D105" s="7" t="s">
        <v>214</v>
      </c>
      <c r="E105" s="7" t="s">
        <v>552</v>
      </c>
      <c r="F105" s="7" t="s">
        <v>855</v>
      </c>
      <c r="G105" s="7" t="s">
        <v>700</v>
      </c>
    </row>
    <row r="106" customFormat="false" ht="15" hidden="false" customHeight="false" outlineLevel="0" collapsed="false">
      <c r="A106" s="7" t="s">
        <v>856</v>
      </c>
      <c r="B106" s="7" t="s">
        <v>714</v>
      </c>
      <c r="C106" s="7" t="s">
        <v>857</v>
      </c>
      <c r="D106" s="7" t="s">
        <v>214</v>
      </c>
      <c r="E106" s="7" t="s">
        <v>548</v>
      </c>
      <c r="F106" s="7" t="s">
        <v>858</v>
      </c>
      <c r="G106" s="7" t="s">
        <v>712</v>
      </c>
      <c r="H106" s="7" t="s">
        <v>212</v>
      </c>
    </row>
    <row r="107" customFormat="false" ht="15" hidden="false" customHeight="false" outlineLevel="0" collapsed="false">
      <c r="A107" s="7" t="s">
        <v>859</v>
      </c>
      <c r="B107" s="7" t="s">
        <v>714</v>
      </c>
      <c r="C107" s="7" t="s">
        <v>860</v>
      </c>
      <c r="D107" s="7" t="s">
        <v>214</v>
      </c>
      <c r="E107" s="7" t="s">
        <v>548</v>
      </c>
      <c r="F107" s="7" t="s">
        <v>861</v>
      </c>
      <c r="G107" s="7" t="s">
        <v>712</v>
      </c>
      <c r="H107" s="7" t="s">
        <v>212</v>
      </c>
    </row>
    <row r="108" customFormat="false" ht="15" hidden="false" customHeight="false" outlineLevel="0" collapsed="false">
      <c r="A108" s="7" t="s">
        <v>862</v>
      </c>
      <c r="B108" s="7" t="s">
        <v>728</v>
      </c>
      <c r="C108" s="7" t="s">
        <v>863</v>
      </c>
      <c r="D108" s="7" t="s">
        <v>218</v>
      </c>
      <c r="E108" s="7" t="s">
        <v>548</v>
      </c>
      <c r="F108" s="7" t="s">
        <v>864</v>
      </c>
      <c r="H108" s="7" t="s">
        <v>216</v>
      </c>
    </row>
    <row r="109" customFormat="false" ht="15" hidden="false" customHeight="false" outlineLevel="0" collapsed="false">
      <c r="A109" s="7" t="s">
        <v>865</v>
      </c>
      <c r="B109" s="7" t="s">
        <v>728</v>
      </c>
      <c r="C109" s="7" t="s">
        <v>866</v>
      </c>
      <c r="D109" s="7" t="s">
        <v>218</v>
      </c>
      <c r="E109" s="7" t="s">
        <v>548</v>
      </c>
      <c r="F109" s="7" t="s">
        <v>867</v>
      </c>
      <c r="G109" s="7" t="s">
        <v>712</v>
      </c>
      <c r="H109" s="7" t="s">
        <v>216</v>
      </c>
    </row>
    <row r="110" customFormat="false" ht="15" hidden="false" customHeight="false" outlineLevel="0" collapsed="false">
      <c r="A110" s="7" t="s">
        <v>868</v>
      </c>
      <c r="B110" s="7" t="s">
        <v>748</v>
      </c>
      <c r="C110" s="7" t="s">
        <v>869</v>
      </c>
      <c r="D110" s="7" t="s">
        <v>218</v>
      </c>
      <c r="E110" s="7" t="s">
        <v>548</v>
      </c>
      <c r="F110" s="7" t="s">
        <v>870</v>
      </c>
      <c r="G110" s="7" t="s">
        <v>506</v>
      </c>
      <c r="H110" s="7" t="s">
        <v>220</v>
      </c>
    </row>
    <row r="111" customFormat="false" ht="15" hidden="false" customHeight="false" outlineLevel="0" collapsed="false">
      <c r="A111" s="7" t="s">
        <v>871</v>
      </c>
      <c r="B111" s="7" t="s">
        <v>748</v>
      </c>
      <c r="C111" s="7" t="s">
        <v>872</v>
      </c>
      <c r="D111" s="7" t="s">
        <v>218</v>
      </c>
      <c r="E111" s="7" t="s">
        <v>548</v>
      </c>
      <c r="F111" s="7" t="s">
        <v>521</v>
      </c>
      <c r="G111" s="7" t="s">
        <v>506</v>
      </c>
      <c r="H111" s="7" t="s">
        <v>223</v>
      </c>
    </row>
    <row r="112" customFormat="false" ht="15" hidden="false" customHeight="false" outlineLevel="0" collapsed="false">
      <c r="A112" s="7" t="s">
        <v>873</v>
      </c>
      <c r="B112" s="7" t="s">
        <v>874</v>
      </c>
      <c r="C112" s="7" t="s">
        <v>875</v>
      </c>
      <c r="D112" s="7" t="s">
        <v>193</v>
      </c>
      <c r="E112" s="7" t="s">
        <v>548</v>
      </c>
      <c r="H112" s="7" t="s">
        <v>260</v>
      </c>
    </row>
    <row r="113" customFormat="false" ht="15" hidden="false" customHeight="false" outlineLevel="0" collapsed="false">
      <c r="A113" s="7" t="s">
        <v>876</v>
      </c>
      <c r="B113" s="7" t="s">
        <v>874</v>
      </c>
      <c r="C113" s="7" t="s">
        <v>877</v>
      </c>
      <c r="D113" s="7" t="s">
        <v>193</v>
      </c>
      <c r="E113" s="7" t="s">
        <v>548</v>
      </c>
      <c r="F113" s="7" t="s">
        <v>878</v>
      </c>
      <c r="H113" s="7" t="s">
        <v>260</v>
      </c>
    </row>
    <row r="114" customFormat="false" ht="15" hidden="false" customHeight="false" outlineLevel="0" collapsed="false">
      <c r="A114" s="7" t="s">
        <v>879</v>
      </c>
      <c r="B114" s="7" t="s">
        <v>874</v>
      </c>
      <c r="C114" s="7" t="s">
        <v>880</v>
      </c>
      <c r="D114" s="7" t="s">
        <v>193</v>
      </c>
      <c r="E114" s="7" t="s">
        <v>548</v>
      </c>
      <c r="F114" s="7" t="s">
        <v>881</v>
      </c>
      <c r="H114" s="7" t="s">
        <v>260</v>
      </c>
    </row>
    <row r="115" customFormat="false" ht="15" hidden="false" customHeight="false" outlineLevel="0" collapsed="false">
      <c r="A115" s="7" t="s">
        <v>882</v>
      </c>
      <c r="B115" s="7" t="s">
        <v>874</v>
      </c>
      <c r="C115" s="7" t="s">
        <v>883</v>
      </c>
      <c r="D115" s="7" t="s">
        <v>193</v>
      </c>
      <c r="E115" s="7" t="s">
        <v>548</v>
      </c>
      <c r="F115" s="7" t="s">
        <v>884</v>
      </c>
      <c r="H115" s="7" t="s">
        <v>260</v>
      </c>
    </row>
    <row r="116" customFormat="false" ht="15" hidden="false" customHeight="false" outlineLevel="0" collapsed="false">
      <c r="A116" s="7" t="s">
        <v>885</v>
      </c>
      <c r="B116" s="7" t="s">
        <v>874</v>
      </c>
      <c r="C116" s="7" t="s">
        <v>886</v>
      </c>
      <c r="D116" s="7" t="s">
        <v>214</v>
      </c>
      <c r="E116" s="7" t="s">
        <v>548</v>
      </c>
      <c r="F116" s="7" t="s">
        <v>887</v>
      </c>
      <c r="H116" s="7" t="s">
        <v>260</v>
      </c>
    </row>
    <row r="117" customFormat="false" ht="15" hidden="false" customHeight="false" outlineLevel="0" collapsed="false">
      <c r="A117" s="7" t="s">
        <v>888</v>
      </c>
      <c r="B117" s="7" t="s">
        <v>874</v>
      </c>
      <c r="C117" s="7" t="s">
        <v>889</v>
      </c>
      <c r="D117" s="7" t="s">
        <v>214</v>
      </c>
      <c r="E117" s="7" t="s">
        <v>548</v>
      </c>
      <c r="F117" s="7" t="s">
        <v>890</v>
      </c>
      <c r="H117" s="7" t="s">
        <v>260</v>
      </c>
    </row>
    <row r="118" customFormat="false" ht="15" hidden="false" customHeight="false" outlineLevel="0" collapsed="false">
      <c r="A118" s="7" t="s">
        <v>891</v>
      </c>
      <c r="B118" s="7" t="s">
        <v>874</v>
      </c>
      <c r="C118" s="7" t="s">
        <v>892</v>
      </c>
      <c r="D118" s="7" t="s">
        <v>193</v>
      </c>
      <c r="E118" s="7" t="s">
        <v>548</v>
      </c>
      <c r="F118" s="7" t="s">
        <v>893</v>
      </c>
      <c r="H118" s="7" t="s">
        <v>263</v>
      </c>
    </row>
    <row r="119" customFormat="false" ht="15" hidden="false" customHeight="false" outlineLevel="0" collapsed="false">
      <c r="A119" s="7" t="s">
        <v>894</v>
      </c>
      <c r="B119" s="7" t="s">
        <v>874</v>
      </c>
      <c r="C119" s="7" t="s">
        <v>895</v>
      </c>
      <c r="D119" s="7" t="s">
        <v>193</v>
      </c>
      <c r="E119" s="7" t="s">
        <v>548</v>
      </c>
      <c r="F119" s="7" t="s">
        <v>896</v>
      </c>
      <c r="H119" s="7" t="s">
        <v>260</v>
      </c>
    </row>
    <row r="120" customFormat="false" ht="15" hidden="false" customHeight="false" outlineLevel="0" collapsed="false">
      <c r="A120" s="7" t="s">
        <v>897</v>
      </c>
      <c r="B120" s="7" t="s">
        <v>874</v>
      </c>
      <c r="C120" s="7" t="s">
        <v>898</v>
      </c>
      <c r="D120" s="7" t="s">
        <v>214</v>
      </c>
      <c r="E120" s="7" t="s">
        <v>548</v>
      </c>
      <c r="F120" s="7" t="s">
        <v>899</v>
      </c>
      <c r="H120" s="7" t="s">
        <v>260</v>
      </c>
    </row>
    <row r="121" customFormat="false" ht="15" hidden="false" customHeight="false" outlineLevel="0" collapsed="false">
      <c r="A121" s="7" t="s">
        <v>900</v>
      </c>
      <c r="B121" s="7" t="s">
        <v>874</v>
      </c>
      <c r="C121" s="7" t="s">
        <v>901</v>
      </c>
      <c r="D121" s="7" t="s">
        <v>214</v>
      </c>
      <c r="E121" s="7" t="s">
        <v>548</v>
      </c>
      <c r="F121" s="7" t="s">
        <v>902</v>
      </c>
      <c r="H121" s="7" t="s">
        <v>260</v>
      </c>
    </row>
    <row r="122" customFormat="false" ht="15" hidden="false" customHeight="false" outlineLevel="0" collapsed="false">
      <c r="A122" s="7" t="s">
        <v>903</v>
      </c>
      <c r="B122" s="7" t="s">
        <v>874</v>
      </c>
      <c r="C122" s="7" t="s">
        <v>904</v>
      </c>
      <c r="D122" s="7" t="s">
        <v>239</v>
      </c>
      <c r="E122" s="7" t="s">
        <v>725</v>
      </c>
      <c r="G122" s="7" t="s">
        <v>531</v>
      </c>
      <c r="H122" s="7" t="s">
        <v>260</v>
      </c>
    </row>
    <row r="123" customFormat="false" ht="15" hidden="false" customHeight="false" outlineLevel="0" collapsed="false">
      <c r="A123" s="7" t="s">
        <v>905</v>
      </c>
      <c r="B123" s="7" t="s">
        <v>646</v>
      </c>
      <c r="C123" s="7" t="s">
        <v>906</v>
      </c>
      <c r="D123" s="7" t="s">
        <v>193</v>
      </c>
      <c r="E123" s="7" t="s">
        <v>548</v>
      </c>
      <c r="F123" s="7" t="s">
        <v>907</v>
      </c>
      <c r="G123" s="7" t="s">
        <v>908</v>
      </c>
      <c r="H123" s="7" t="s">
        <v>278</v>
      </c>
    </row>
    <row r="124" customFormat="false" ht="15" hidden="false" customHeight="false" outlineLevel="0" collapsed="false">
      <c r="A124" s="7" t="s">
        <v>909</v>
      </c>
      <c r="B124" s="7" t="s">
        <v>590</v>
      </c>
      <c r="C124" s="7" t="s">
        <v>910</v>
      </c>
      <c r="D124" s="7" t="s">
        <v>193</v>
      </c>
      <c r="E124" s="7" t="s">
        <v>548</v>
      </c>
      <c r="F124" s="7" t="s">
        <v>911</v>
      </c>
      <c r="H124" s="7" t="s">
        <v>196</v>
      </c>
    </row>
    <row r="125" customFormat="false" ht="15" hidden="false" customHeight="false" outlineLevel="0" collapsed="false">
      <c r="A125" s="7" t="s">
        <v>912</v>
      </c>
      <c r="B125" s="7" t="s">
        <v>913</v>
      </c>
      <c r="C125" s="7" t="s">
        <v>914</v>
      </c>
      <c r="D125" s="7" t="s">
        <v>174</v>
      </c>
      <c r="E125" s="7" t="s">
        <v>548</v>
      </c>
      <c r="G125" s="7" t="s">
        <v>506</v>
      </c>
      <c r="H125" s="7" t="s">
        <v>184</v>
      </c>
    </row>
    <row r="126" customFormat="false" ht="15" hidden="false" customHeight="false" outlineLevel="0" collapsed="false">
      <c r="A126" s="7" t="s">
        <v>915</v>
      </c>
      <c r="B126" s="7" t="s">
        <v>913</v>
      </c>
      <c r="C126" s="7" t="s">
        <v>916</v>
      </c>
      <c r="D126" s="7" t="s">
        <v>193</v>
      </c>
      <c r="E126" s="7" t="s">
        <v>548</v>
      </c>
      <c r="G126" s="7" t="s">
        <v>682</v>
      </c>
      <c r="H126" s="7" t="s">
        <v>278</v>
      </c>
    </row>
    <row r="127" customFormat="false" ht="15" hidden="false" customHeight="false" outlineLevel="0" collapsed="false">
      <c r="A127" s="7" t="s">
        <v>917</v>
      </c>
      <c r="B127" s="7" t="s">
        <v>913</v>
      </c>
      <c r="C127" s="7" t="s">
        <v>918</v>
      </c>
      <c r="D127" s="7" t="s">
        <v>176</v>
      </c>
      <c r="E127" s="7" t="s">
        <v>552</v>
      </c>
      <c r="G127" s="7" t="s">
        <v>704</v>
      </c>
    </row>
    <row r="128" customFormat="false" ht="15" hidden="false" customHeight="false" outlineLevel="0" collapsed="false">
      <c r="A128" s="7" t="s">
        <v>919</v>
      </c>
      <c r="B128" s="7" t="s">
        <v>913</v>
      </c>
      <c r="C128" s="7" t="s">
        <v>920</v>
      </c>
      <c r="D128" s="7" t="s">
        <v>176</v>
      </c>
      <c r="E128" s="7" t="s">
        <v>552</v>
      </c>
      <c r="G128" s="7" t="s">
        <v>700</v>
      </c>
    </row>
    <row r="129" customFormat="false" ht="15" hidden="false" customHeight="false" outlineLevel="0" collapsed="false">
      <c r="A129" s="7" t="s">
        <v>921</v>
      </c>
      <c r="B129" s="7" t="s">
        <v>913</v>
      </c>
      <c r="C129" s="7" t="s">
        <v>922</v>
      </c>
      <c r="D129" s="7" t="s">
        <v>193</v>
      </c>
      <c r="E129" s="7" t="s">
        <v>548</v>
      </c>
      <c r="G129" s="7" t="s">
        <v>712</v>
      </c>
      <c r="H129" s="7" t="s">
        <v>206</v>
      </c>
    </row>
    <row r="130" customFormat="false" ht="15" hidden="false" customHeight="false" outlineLevel="0" collapsed="false">
      <c r="A130" s="7" t="s">
        <v>923</v>
      </c>
      <c r="B130" s="7" t="s">
        <v>913</v>
      </c>
      <c r="C130" s="7" t="s">
        <v>924</v>
      </c>
      <c r="D130" s="7" t="s">
        <v>193</v>
      </c>
      <c r="E130" s="7" t="s">
        <v>548</v>
      </c>
      <c r="G130" s="7" t="s">
        <v>664</v>
      </c>
      <c r="H130" s="7" t="s">
        <v>206</v>
      </c>
    </row>
    <row r="131" customFormat="false" ht="15" hidden="false" customHeight="false" outlineLevel="0" collapsed="false">
      <c r="A131" s="7" t="s">
        <v>925</v>
      </c>
      <c r="B131" s="7" t="s">
        <v>913</v>
      </c>
      <c r="C131" s="7" t="s">
        <v>926</v>
      </c>
      <c r="D131" s="7" t="s">
        <v>214</v>
      </c>
      <c r="E131" s="7" t="s">
        <v>725</v>
      </c>
      <c r="G131" s="7" t="s">
        <v>927</v>
      </c>
      <c r="H131" s="7" t="s">
        <v>233</v>
      </c>
    </row>
    <row r="132" customFormat="false" ht="15" hidden="false" customHeight="false" outlineLevel="0" collapsed="false">
      <c r="A132" s="7" t="s">
        <v>928</v>
      </c>
      <c r="B132" s="7" t="s">
        <v>913</v>
      </c>
      <c r="C132" s="7" t="s">
        <v>929</v>
      </c>
      <c r="D132" s="7" t="s">
        <v>193</v>
      </c>
      <c r="E132" s="7" t="s">
        <v>548</v>
      </c>
      <c r="G132" s="7" t="s">
        <v>930</v>
      </c>
      <c r="H132" s="7" t="s">
        <v>278</v>
      </c>
    </row>
    <row r="133" customFormat="false" ht="15" hidden="false" customHeight="false" outlineLevel="0" collapsed="false">
      <c r="A133" s="7" t="s">
        <v>931</v>
      </c>
      <c r="B133" s="7" t="s">
        <v>913</v>
      </c>
      <c r="C133" s="7" t="s">
        <v>932</v>
      </c>
      <c r="D133" s="7" t="s">
        <v>193</v>
      </c>
      <c r="E133" s="7" t="s">
        <v>548</v>
      </c>
      <c r="G133" s="7" t="s">
        <v>933</v>
      </c>
      <c r="H133" s="7" t="s">
        <v>278</v>
      </c>
    </row>
    <row r="134" customFormat="false" ht="15" hidden="false" customHeight="false" outlineLevel="0" collapsed="false">
      <c r="A134" s="7" t="s">
        <v>934</v>
      </c>
      <c r="B134" s="7" t="s">
        <v>913</v>
      </c>
      <c r="C134" s="7" t="s">
        <v>935</v>
      </c>
      <c r="D134" s="7" t="s">
        <v>176</v>
      </c>
      <c r="E134" s="7" t="s">
        <v>552</v>
      </c>
      <c r="G134" s="7" t="s">
        <v>936</v>
      </c>
    </row>
    <row r="135" customFormat="false" ht="15" hidden="false" customHeight="false" outlineLevel="0" collapsed="false">
      <c r="A135" s="7" t="s">
        <v>937</v>
      </c>
      <c r="B135" s="7" t="s">
        <v>913</v>
      </c>
      <c r="C135" s="7" t="s">
        <v>938</v>
      </c>
      <c r="D135" s="7" t="s">
        <v>214</v>
      </c>
      <c r="E135" s="7" t="s">
        <v>725</v>
      </c>
      <c r="G135" s="7" t="s">
        <v>939</v>
      </c>
      <c r="H135" s="7" t="s">
        <v>233</v>
      </c>
    </row>
    <row r="136" customFormat="false" ht="15" hidden="false" customHeight="false" outlineLevel="0" collapsed="false">
      <c r="A136" s="7" t="s">
        <v>940</v>
      </c>
      <c r="B136" s="7" t="s">
        <v>913</v>
      </c>
      <c r="C136" s="7" t="s">
        <v>941</v>
      </c>
      <c r="D136" s="7" t="s">
        <v>176</v>
      </c>
      <c r="E136" s="7" t="s">
        <v>552</v>
      </c>
      <c r="G136" s="7" t="s">
        <v>942</v>
      </c>
    </row>
    <row r="137" customFormat="false" ht="15" hidden="false" customHeight="false" outlineLevel="0" collapsed="false">
      <c r="A137" s="7" t="s">
        <v>943</v>
      </c>
      <c r="B137" s="7" t="s">
        <v>913</v>
      </c>
      <c r="C137" s="7" t="s">
        <v>944</v>
      </c>
      <c r="D137" s="7" t="s">
        <v>176</v>
      </c>
      <c r="E137" s="7" t="s">
        <v>552</v>
      </c>
      <c r="G137" s="7" t="s">
        <v>945</v>
      </c>
    </row>
    <row r="138" customFormat="false" ht="15" hidden="false" customHeight="false" outlineLevel="0" collapsed="false">
      <c r="A138" s="7" t="s">
        <v>946</v>
      </c>
      <c r="B138" s="7" t="s">
        <v>913</v>
      </c>
      <c r="C138" s="7" t="s">
        <v>947</v>
      </c>
      <c r="D138" s="7" t="s">
        <v>176</v>
      </c>
      <c r="E138" s="7" t="s">
        <v>552</v>
      </c>
      <c r="G138" s="7" t="s">
        <v>948</v>
      </c>
    </row>
    <row r="139" customFormat="false" ht="15" hidden="false" customHeight="false" outlineLevel="0" collapsed="false">
      <c r="A139" s="7" t="s">
        <v>949</v>
      </c>
      <c r="B139" s="7" t="s">
        <v>913</v>
      </c>
      <c r="C139" s="7" t="s">
        <v>950</v>
      </c>
      <c r="D139" s="7" t="s">
        <v>176</v>
      </c>
      <c r="E139" s="7" t="s">
        <v>552</v>
      </c>
      <c r="G139" s="7" t="s">
        <v>951</v>
      </c>
    </row>
    <row r="140" customFormat="false" ht="15" hidden="false" customHeight="false" outlineLevel="0" collapsed="false">
      <c r="A140" s="7" t="s">
        <v>952</v>
      </c>
      <c r="B140" s="7" t="s">
        <v>913</v>
      </c>
      <c r="C140" s="7" t="s">
        <v>953</v>
      </c>
      <c r="D140" s="7" t="s">
        <v>214</v>
      </c>
      <c r="E140" s="7" t="s">
        <v>548</v>
      </c>
      <c r="G140" s="7" t="s">
        <v>781</v>
      </c>
      <c r="H140" s="7" t="s">
        <v>233</v>
      </c>
    </row>
    <row r="141" customFormat="false" ht="15" hidden="false" customHeight="false" outlineLevel="0" collapsed="false">
      <c r="A141" s="7" t="s">
        <v>954</v>
      </c>
      <c r="B141" s="7" t="s">
        <v>913</v>
      </c>
      <c r="C141" s="7" t="s">
        <v>955</v>
      </c>
      <c r="D141" s="7" t="s">
        <v>214</v>
      </c>
      <c r="E141" s="7" t="s">
        <v>548</v>
      </c>
      <c r="G141" s="7" t="s">
        <v>784</v>
      </c>
      <c r="H141" s="7" t="s">
        <v>233</v>
      </c>
    </row>
    <row r="142" customFormat="false" ht="15" hidden="false" customHeight="false" outlineLevel="0" collapsed="false">
      <c r="A142" s="7" t="s">
        <v>956</v>
      </c>
      <c r="B142" s="7" t="s">
        <v>913</v>
      </c>
      <c r="C142" s="7" t="s">
        <v>957</v>
      </c>
      <c r="D142" s="7" t="s">
        <v>214</v>
      </c>
      <c r="E142" s="7" t="s">
        <v>548</v>
      </c>
      <c r="G142" s="7" t="s">
        <v>787</v>
      </c>
      <c r="H142" s="7" t="s">
        <v>233</v>
      </c>
    </row>
    <row r="143" customFormat="false" ht="15" hidden="false" customHeight="false" outlineLevel="0" collapsed="false">
      <c r="A143" s="7" t="s">
        <v>958</v>
      </c>
      <c r="B143" s="7" t="s">
        <v>913</v>
      </c>
      <c r="C143" s="7" t="s">
        <v>959</v>
      </c>
      <c r="D143" s="7" t="s">
        <v>239</v>
      </c>
      <c r="E143" s="7" t="s">
        <v>548</v>
      </c>
      <c r="G143" s="7" t="s">
        <v>960</v>
      </c>
      <c r="H143" s="7" t="s">
        <v>284</v>
      </c>
    </row>
    <row r="144" customFormat="false" ht="15" hidden="false" customHeight="false" outlineLevel="0" collapsed="false">
      <c r="A144" s="7" t="s">
        <v>961</v>
      </c>
      <c r="B144" s="7" t="s">
        <v>913</v>
      </c>
      <c r="C144" s="7" t="s">
        <v>962</v>
      </c>
      <c r="D144" s="7" t="s">
        <v>239</v>
      </c>
      <c r="E144" s="7" t="s">
        <v>548</v>
      </c>
      <c r="G144" s="7" t="s">
        <v>963</v>
      </c>
      <c r="H144" s="7" t="s">
        <v>284</v>
      </c>
    </row>
    <row r="145" customFormat="false" ht="15" hidden="false" customHeight="false" outlineLevel="0" collapsed="false">
      <c r="A145" s="7" t="s">
        <v>964</v>
      </c>
      <c r="B145" s="7" t="s">
        <v>913</v>
      </c>
      <c r="C145" s="7" t="s">
        <v>965</v>
      </c>
      <c r="D145" s="7" t="s">
        <v>239</v>
      </c>
      <c r="E145" s="7" t="s">
        <v>548</v>
      </c>
      <c r="G145" s="7" t="s">
        <v>966</v>
      </c>
      <c r="H145" s="7" t="s">
        <v>284</v>
      </c>
    </row>
    <row r="146" customFormat="false" ht="15" hidden="false" customHeight="false" outlineLevel="0" collapsed="false">
      <c r="A146" s="7" t="s">
        <v>967</v>
      </c>
      <c r="B146" s="7" t="s">
        <v>913</v>
      </c>
      <c r="C146" s="7" t="s">
        <v>968</v>
      </c>
      <c r="D146" s="7" t="s">
        <v>239</v>
      </c>
      <c r="E146" s="7" t="s">
        <v>548</v>
      </c>
      <c r="G146" s="7" t="s">
        <v>969</v>
      </c>
      <c r="H146" s="7" t="s">
        <v>284</v>
      </c>
    </row>
    <row r="147" customFormat="false" ht="15" hidden="false" customHeight="false" outlineLevel="0" collapsed="false">
      <c r="A147" s="7" t="s">
        <v>970</v>
      </c>
      <c r="B147" s="7" t="s">
        <v>913</v>
      </c>
      <c r="C147" s="7" t="s">
        <v>971</v>
      </c>
      <c r="D147" s="7" t="s">
        <v>193</v>
      </c>
      <c r="E147" s="7" t="s">
        <v>548</v>
      </c>
      <c r="G147" s="7" t="s">
        <v>510</v>
      </c>
      <c r="H147" s="7" t="s">
        <v>199</v>
      </c>
    </row>
    <row r="148" customFormat="false" ht="15" hidden="false" customHeight="false" outlineLevel="0" collapsed="false">
      <c r="A148" s="7" t="s">
        <v>972</v>
      </c>
      <c r="B148" s="7" t="s">
        <v>913</v>
      </c>
      <c r="C148" s="7" t="s">
        <v>973</v>
      </c>
      <c r="D148" s="7" t="s">
        <v>176</v>
      </c>
      <c r="E148" s="7" t="s">
        <v>552</v>
      </c>
      <c r="G148" s="7" t="s">
        <v>760</v>
      </c>
    </row>
    <row r="149" customFormat="false" ht="15" hidden="false" customHeight="false" outlineLevel="0" collapsed="false">
      <c r="A149" s="7" t="s">
        <v>974</v>
      </c>
      <c r="B149" s="7" t="s">
        <v>913</v>
      </c>
      <c r="C149" s="7" t="s">
        <v>975</v>
      </c>
      <c r="D149" s="7" t="s">
        <v>231</v>
      </c>
      <c r="E149" s="7" t="s">
        <v>725</v>
      </c>
      <c r="G149" s="7" t="s">
        <v>772</v>
      </c>
      <c r="H149" s="7" t="s">
        <v>229</v>
      </c>
    </row>
    <row r="150" customFormat="false" ht="15" hidden="false" customHeight="false" outlineLevel="0" collapsed="false">
      <c r="A150" s="7" t="s">
        <v>976</v>
      </c>
      <c r="B150" s="7" t="s">
        <v>913</v>
      </c>
      <c r="C150" s="7" t="s">
        <v>977</v>
      </c>
      <c r="D150" s="7" t="s">
        <v>176</v>
      </c>
      <c r="E150" s="7" t="s">
        <v>552</v>
      </c>
      <c r="G150" s="7" t="s">
        <v>689</v>
      </c>
    </row>
    <row r="151" customFormat="false" ht="15" hidden="false" customHeight="false" outlineLevel="0" collapsed="false">
      <c r="A151" s="7" t="s">
        <v>978</v>
      </c>
      <c r="B151" s="7" t="s">
        <v>913</v>
      </c>
      <c r="C151" s="7" t="s">
        <v>979</v>
      </c>
      <c r="D151" s="7" t="s">
        <v>239</v>
      </c>
      <c r="E151" s="7" t="s">
        <v>548</v>
      </c>
      <c r="G151" s="7" t="s">
        <v>980</v>
      </c>
      <c r="H151" s="7" t="s">
        <v>241</v>
      </c>
    </row>
    <row r="152" customFormat="false" ht="15" hidden="false" customHeight="false" outlineLevel="0" collapsed="false">
      <c r="A152" s="7" t="s">
        <v>981</v>
      </c>
      <c r="B152" s="7" t="s">
        <v>913</v>
      </c>
      <c r="C152" s="7" t="s">
        <v>982</v>
      </c>
      <c r="D152" s="7" t="s">
        <v>239</v>
      </c>
      <c r="E152" s="7" t="s">
        <v>725</v>
      </c>
      <c r="G152" s="7" t="s">
        <v>529</v>
      </c>
      <c r="H152" s="7" t="s">
        <v>244</v>
      </c>
    </row>
    <row r="153" customFormat="false" ht="15" hidden="false" customHeight="false" outlineLevel="0" collapsed="false">
      <c r="A153" s="7" t="s">
        <v>983</v>
      </c>
      <c r="B153" s="7" t="s">
        <v>913</v>
      </c>
      <c r="C153" s="7" t="s">
        <v>984</v>
      </c>
      <c r="D153" s="7" t="s">
        <v>214</v>
      </c>
      <c r="E153" s="7" t="s">
        <v>725</v>
      </c>
      <c r="G153" s="7" t="s">
        <v>726</v>
      </c>
      <c r="H153" s="7" t="s">
        <v>233</v>
      </c>
    </row>
    <row r="154" customFormat="false" ht="15" hidden="false" customHeight="false" outlineLevel="0" collapsed="false">
      <c r="A154" s="7" t="s">
        <v>985</v>
      </c>
      <c r="B154" s="7" t="s">
        <v>913</v>
      </c>
      <c r="C154" s="7" t="s">
        <v>986</v>
      </c>
      <c r="D154" s="7" t="s">
        <v>193</v>
      </c>
      <c r="E154" s="7" t="s">
        <v>725</v>
      </c>
      <c r="G154" s="7" t="s">
        <v>655</v>
      </c>
      <c r="H154" s="7" t="s">
        <v>272</v>
      </c>
    </row>
    <row r="155" customFormat="false" ht="15" hidden="false" customHeight="false" outlineLevel="0" collapsed="false">
      <c r="A155" s="7" t="s">
        <v>987</v>
      </c>
      <c r="B155" s="7" t="s">
        <v>913</v>
      </c>
      <c r="C155" s="7" t="s">
        <v>988</v>
      </c>
      <c r="D155" s="7" t="s">
        <v>239</v>
      </c>
      <c r="E155" s="7" t="s">
        <v>725</v>
      </c>
      <c r="G155" s="7" t="s">
        <v>531</v>
      </c>
      <c r="H155" s="7" t="s">
        <v>260</v>
      </c>
    </row>
    <row r="156" customFormat="false" ht="15" hidden="false" customHeight="false" outlineLevel="0" collapsed="false">
      <c r="A156" s="7" t="s">
        <v>989</v>
      </c>
      <c r="B156" s="7" t="s">
        <v>990</v>
      </c>
      <c r="C156" s="7" t="s">
        <v>991</v>
      </c>
      <c r="D156" s="7" t="s">
        <v>193</v>
      </c>
      <c r="E156" s="7" t="s">
        <v>548</v>
      </c>
      <c r="H156" s="7" t="s">
        <v>203</v>
      </c>
    </row>
    <row r="157" customFormat="false" ht="15" hidden="false" customHeight="false" outlineLevel="0" collapsed="false">
      <c r="A157" s="7" t="s">
        <v>992</v>
      </c>
      <c r="B157" s="7" t="s">
        <v>990</v>
      </c>
      <c r="C157" s="7" t="s">
        <v>993</v>
      </c>
      <c r="D157" s="7" t="s">
        <v>193</v>
      </c>
      <c r="E157" s="7" t="s">
        <v>548</v>
      </c>
      <c r="H157" s="7" t="s">
        <v>203</v>
      </c>
    </row>
    <row r="158" customFormat="false" ht="15" hidden="false" customHeight="false" outlineLevel="0" collapsed="false">
      <c r="A158" s="7" t="s">
        <v>994</v>
      </c>
      <c r="B158" s="7" t="s">
        <v>990</v>
      </c>
      <c r="C158" s="7" t="s">
        <v>995</v>
      </c>
      <c r="D158" s="7" t="s">
        <v>193</v>
      </c>
      <c r="E158" s="7" t="s">
        <v>548</v>
      </c>
      <c r="H158" s="7" t="s">
        <v>203</v>
      </c>
    </row>
    <row r="159" customFormat="false" ht="15" hidden="false" customHeight="false" outlineLevel="0" collapsed="false">
      <c r="A159" s="7" t="s">
        <v>996</v>
      </c>
      <c r="B159" s="7" t="s">
        <v>990</v>
      </c>
      <c r="C159" s="7" t="s">
        <v>997</v>
      </c>
      <c r="D159" s="7" t="s">
        <v>239</v>
      </c>
      <c r="E159" s="7" t="s">
        <v>548</v>
      </c>
      <c r="F159" s="7" t="s">
        <v>998</v>
      </c>
      <c r="G159" s="7" t="s">
        <v>506</v>
      </c>
      <c r="H159" s="7" t="s">
        <v>241</v>
      </c>
    </row>
    <row r="160" customFormat="false" ht="15" hidden="false" customHeight="false" outlineLevel="0" collapsed="false">
      <c r="A160" s="7" t="s">
        <v>999</v>
      </c>
      <c r="B160" s="7" t="s">
        <v>990</v>
      </c>
      <c r="C160" s="7" t="s">
        <v>1000</v>
      </c>
      <c r="D160" s="7" t="s">
        <v>239</v>
      </c>
      <c r="E160" s="7" t="s">
        <v>548</v>
      </c>
      <c r="G160" s="7" t="s">
        <v>980</v>
      </c>
      <c r="H160" s="7" t="s">
        <v>241</v>
      </c>
    </row>
    <row r="161" customFormat="false" ht="15" hidden="false" customHeight="false" outlineLevel="0" collapsed="false">
      <c r="A161" s="7" t="s">
        <v>1001</v>
      </c>
      <c r="B161" s="7" t="s">
        <v>990</v>
      </c>
      <c r="C161" s="7" t="s">
        <v>1002</v>
      </c>
      <c r="D161" s="7" t="s">
        <v>193</v>
      </c>
      <c r="E161" s="7" t="s">
        <v>548</v>
      </c>
      <c r="H161" s="7" t="s">
        <v>196</v>
      </c>
    </row>
    <row r="162" customFormat="false" ht="15" hidden="false" customHeight="false" outlineLevel="0" collapsed="false">
      <c r="A162" s="7" t="s">
        <v>1003</v>
      </c>
      <c r="B162" s="7" t="s">
        <v>990</v>
      </c>
      <c r="C162" s="7" t="s">
        <v>1004</v>
      </c>
      <c r="D162" s="7" t="s">
        <v>174</v>
      </c>
      <c r="E162" s="7" t="s">
        <v>548</v>
      </c>
      <c r="H162" s="7" t="s">
        <v>188</v>
      </c>
    </row>
    <row r="163" customFormat="false" ht="15" hidden="false" customHeight="false" outlineLevel="0" collapsed="false">
      <c r="A163" s="7" t="s">
        <v>1005</v>
      </c>
      <c r="B163" s="7" t="s">
        <v>990</v>
      </c>
      <c r="C163" s="7" t="s">
        <v>1006</v>
      </c>
      <c r="D163" s="7" t="s">
        <v>239</v>
      </c>
      <c r="E163" s="7" t="s">
        <v>725</v>
      </c>
      <c r="H163" s="7" t="s">
        <v>237</v>
      </c>
    </row>
    <row r="164" customFormat="false" ht="15" hidden="false" customHeight="false" outlineLevel="0" collapsed="false">
      <c r="A164" s="7" t="s">
        <v>1007</v>
      </c>
      <c r="B164" s="7" t="s">
        <v>990</v>
      </c>
      <c r="C164" s="7" t="s">
        <v>1008</v>
      </c>
      <c r="D164" s="7" t="s">
        <v>239</v>
      </c>
      <c r="E164" s="7" t="s">
        <v>725</v>
      </c>
      <c r="H164" s="7" t="s">
        <v>237</v>
      </c>
    </row>
    <row r="165" customFormat="false" ht="15" hidden="false" customHeight="false" outlineLevel="0" collapsed="false">
      <c r="A165" s="7" t="s">
        <v>1009</v>
      </c>
      <c r="B165" s="7" t="s">
        <v>990</v>
      </c>
      <c r="C165" s="7" t="s">
        <v>1010</v>
      </c>
      <c r="D165" s="7" t="s">
        <v>193</v>
      </c>
      <c r="E165" s="7" t="s">
        <v>548</v>
      </c>
      <c r="H165" s="7" t="s">
        <v>266</v>
      </c>
    </row>
    <row r="166" customFormat="false" ht="15" hidden="false" customHeight="false" outlineLevel="0" collapsed="false">
      <c r="A166" s="7" t="s">
        <v>1011</v>
      </c>
      <c r="B166" s="7" t="s">
        <v>990</v>
      </c>
      <c r="C166" s="7" t="s">
        <v>1012</v>
      </c>
      <c r="D166" s="7" t="s">
        <v>174</v>
      </c>
      <c r="E166" s="7" t="s">
        <v>548</v>
      </c>
      <c r="H166" s="7" t="s">
        <v>180</v>
      </c>
    </row>
    <row r="167" customFormat="false" ht="15" hidden="false" customHeight="false" outlineLevel="0" collapsed="false">
      <c r="A167" s="7" t="s">
        <v>1013</v>
      </c>
      <c r="B167" s="7" t="s">
        <v>990</v>
      </c>
      <c r="C167" s="7" t="s">
        <v>1014</v>
      </c>
      <c r="D167" s="7" t="s">
        <v>239</v>
      </c>
      <c r="E167" s="7" t="s">
        <v>725</v>
      </c>
      <c r="G167" s="7" t="s">
        <v>529</v>
      </c>
      <c r="H167" s="7" t="s">
        <v>244</v>
      </c>
    </row>
    <row r="168" customFormat="false" ht="15" hidden="false" customHeight="false" outlineLevel="0" collapsed="false">
      <c r="A168" s="7" t="s">
        <v>1015</v>
      </c>
      <c r="B168" s="7" t="s">
        <v>990</v>
      </c>
      <c r="C168" s="7" t="s">
        <v>1016</v>
      </c>
      <c r="D168" s="7" t="s">
        <v>176</v>
      </c>
      <c r="E168" s="7" t="s">
        <v>550</v>
      </c>
    </row>
    <row r="169" customFormat="false" ht="15" hidden="false" customHeight="false" outlineLevel="0" collapsed="false">
      <c r="A169" s="7" t="s">
        <v>1017</v>
      </c>
      <c r="B169" s="7" t="s">
        <v>568</v>
      </c>
      <c r="C169" s="7" t="s">
        <v>1018</v>
      </c>
      <c r="D169" s="7" t="s">
        <v>214</v>
      </c>
      <c r="E169" s="7" t="s">
        <v>548</v>
      </c>
      <c r="F169" s="7" t="s">
        <v>1019</v>
      </c>
      <c r="G169" s="7" t="s">
        <v>506</v>
      </c>
      <c r="H169" s="7" t="s">
        <v>281</v>
      </c>
    </row>
    <row r="170" customFormat="false" ht="15" hidden="false" customHeight="false" outlineLevel="0" collapsed="false">
      <c r="A170" s="7" t="s">
        <v>1020</v>
      </c>
      <c r="B170" s="7" t="s">
        <v>779</v>
      </c>
      <c r="C170" s="7" t="s">
        <v>1021</v>
      </c>
      <c r="D170" s="7" t="s">
        <v>214</v>
      </c>
      <c r="E170" s="7" t="s">
        <v>548</v>
      </c>
      <c r="F170" s="7" t="s">
        <v>1022</v>
      </c>
      <c r="G170" s="7" t="s">
        <v>1023</v>
      </c>
      <c r="H170" s="7" t="s">
        <v>233</v>
      </c>
    </row>
    <row r="171" customFormat="false" ht="15" hidden="false" customHeight="false" outlineLevel="0" collapsed="false">
      <c r="A171" s="7" t="s">
        <v>1024</v>
      </c>
      <c r="B171" s="7" t="s">
        <v>779</v>
      </c>
      <c r="C171" s="7" t="s">
        <v>1025</v>
      </c>
      <c r="D171" s="7" t="s">
        <v>214</v>
      </c>
      <c r="E171" s="7" t="s">
        <v>548</v>
      </c>
      <c r="F171" s="7" t="s">
        <v>836</v>
      </c>
      <c r="G171" s="7" t="s">
        <v>781</v>
      </c>
      <c r="H171" s="7" t="s">
        <v>233</v>
      </c>
    </row>
    <row r="172" customFormat="false" ht="15" hidden="false" customHeight="false" outlineLevel="0" collapsed="false">
      <c r="A172" s="7" t="s">
        <v>1026</v>
      </c>
      <c r="B172" s="7" t="s">
        <v>728</v>
      </c>
      <c r="C172" s="7" t="s">
        <v>1027</v>
      </c>
      <c r="D172" s="7" t="s">
        <v>218</v>
      </c>
      <c r="E172" s="7" t="s">
        <v>548</v>
      </c>
      <c r="F172" s="7" t="s">
        <v>1028</v>
      </c>
      <c r="G172" s="7" t="s">
        <v>781</v>
      </c>
      <c r="H172" s="7" t="s">
        <v>216</v>
      </c>
    </row>
    <row r="173" customFormat="false" ht="15" hidden="false" customHeight="false" outlineLevel="0" collapsed="false">
      <c r="A173" s="7" t="s">
        <v>1029</v>
      </c>
      <c r="B173" s="7" t="s">
        <v>568</v>
      </c>
      <c r="C173" s="7" t="s">
        <v>1030</v>
      </c>
      <c r="D173" s="7" t="s">
        <v>214</v>
      </c>
      <c r="E173" s="7" t="s">
        <v>548</v>
      </c>
      <c r="F173" s="7" t="s">
        <v>1031</v>
      </c>
      <c r="G173" s="7" t="s">
        <v>506</v>
      </c>
      <c r="H173" s="7" t="s">
        <v>281</v>
      </c>
    </row>
    <row r="174" customFormat="false" ht="15" hidden="false" customHeight="false" outlineLevel="0" collapsed="false">
      <c r="A174" s="7" t="s">
        <v>1032</v>
      </c>
      <c r="B174" s="7" t="s">
        <v>779</v>
      </c>
      <c r="C174" s="7" t="s">
        <v>1033</v>
      </c>
      <c r="D174" s="7" t="s">
        <v>214</v>
      </c>
      <c r="E174" s="7" t="s">
        <v>548</v>
      </c>
      <c r="G174" s="7" t="s">
        <v>1034</v>
      </c>
      <c r="H174" s="7" t="s">
        <v>233</v>
      </c>
    </row>
    <row r="175" customFormat="false" ht="15" hidden="false" customHeight="false" outlineLevel="0" collapsed="false">
      <c r="A175" s="7" t="s">
        <v>1035</v>
      </c>
      <c r="B175" s="7" t="s">
        <v>779</v>
      </c>
      <c r="C175" s="7" t="s">
        <v>1036</v>
      </c>
      <c r="D175" s="7" t="s">
        <v>214</v>
      </c>
      <c r="E175" s="7" t="s">
        <v>548</v>
      </c>
      <c r="F175" s="7" t="s">
        <v>1037</v>
      </c>
      <c r="G175" s="7" t="s">
        <v>781</v>
      </c>
      <c r="H175" s="7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1038</v>
      </c>
    </row>
    <row r="2" customFormat="false" ht="15" hidden="false" customHeight="false" outlineLevel="0" collapsed="false">
      <c r="A2" s="5" t="s">
        <v>1039</v>
      </c>
    </row>
    <row r="4" customFormat="false" ht="26.85" hidden="false" customHeight="false" outlineLevel="0" collapsed="false">
      <c r="A4" s="6" t="s">
        <v>1040</v>
      </c>
      <c r="B4" s="6" t="s">
        <v>1041</v>
      </c>
      <c r="C4" s="6" t="s">
        <v>1042</v>
      </c>
    </row>
    <row r="5" customFormat="false" ht="15" hidden="false" customHeight="false" outlineLevel="0" collapsed="false">
      <c r="A5" s="7" t="s">
        <v>1043</v>
      </c>
      <c r="B5" s="21" t="n">
        <f aca="false">Build_Summary!$E$19</f>
        <v>21060305.6367432</v>
      </c>
      <c r="C5" s="5" t="s">
        <v>1044</v>
      </c>
    </row>
    <row r="6" customFormat="false" ht="15" hidden="false" customHeight="false" outlineLevel="0" collapsed="false">
      <c r="A6" s="7" t="s">
        <v>1045</v>
      </c>
      <c r="B6" s="47" t="n">
        <f aca="false">Build_Summary!$B$19</f>
        <v>7048.76826722338</v>
      </c>
      <c r="C6" s="5" t="s">
        <v>1046</v>
      </c>
    </row>
    <row r="7" customFormat="false" ht="15" hidden="false" customHeight="false" outlineLevel="0" collapsed="false">
      <c r="A7" s="7" t="s">
        <v>1047</v>
      </c>
      <c r="B7" s="21" t="n">
        <f aca="false">Build_Summary!$E$12</f>
        <v>33124800</v>
      </c>
      <c r="C7" s="5" t="s">
        <v>1048</v>
      </c>
    </row>
    <row r="8" customFormat="false" ht="15" hidden="false" customHeight="false" outlineLevel="0" collapsed="false">
      <c r="A8" s="7" t="s">
        <v>1049</v>
      </c>
      <c r="B8" s="21" t="n">
        <f aca="false">OpEx_Monthly!$C$24</f>
        <v>495760</v>
      </c>
      <c r="C8" s="5" t="s">
        <v>1050</v>
      </c>
    </row>
    <row r="9" customFormat="false" ht="15" hidden="false" customHeight="false" outlineLevel="0" collapsed="false">
      <c r="A9" s="7" t="s">
        <v>1051</v>
      </c>
      <c r="B9" s="21" t="n">
        <f aca="false">OpEx_Monthly!$C$25</f>
        <v>406200</v>
      </c>
      <c r="C9" s="5" t="s">
        <v>1052</v>
      </c>
    </row>
    <row r="10" customFormat="false" ht="15" hidden="false" customHeight="false" outlineLevel="0" collapsed="false">
      <c r="A10" s="7" t="s">
        <v>1053</v>
      </c>
      <c r="B10" s="21" t="n">
        <f aca="false">TCO!$C$22</f>
        <v>51622160</v>
      </c>
      <c r="C10" s="5" t="s">
        <v>1054</v>
      </c>
    </row>
    <row r="11" customFormat="false" ht="15" hidden="false" customHeight="false" outlineLevel="0" collapsed="false">
      <c r="A11" s="7" t="s">
        <v>1055</v>
      </c>
      <c r="B11" s="21" t="n">
        <f aca="false">TCO!$B$22</f>
        <v>41297728</v>
      </c>
      <c r="C11" s="5" t="s">
        <v>1056</v>
      </c>
    </row>
    <row r="12" customFormat="false" ht="15" hidden="false" customHeight="false" outlineLevel="0" collapsed="false">
      <c r="A12" s="7" t="s">
        <v>1057</v>
      </c>
      <c r="B12" s="21" t="n">
        <f aca="false">TCO!$D$22</f>
        <v>67108808</v>
      </c>
      <c r="C12" s="5" t="s">
        <v>1058</v>
      </c>
    </row>
    <row r="13" customFormat="false" ht="15" hidden="false" customHeight="false" outlineLevel="0" collapsed="false">
      <c r="A13" s="7" t="s">
        <v>1059</v>
      </c>
      <c r="B13" s="21" t="n">
        <f aca="false">TCO!$C$16</f>
        <v>36333505.6367432</v>
      </c>
      <c r="C13" s="5" t="s">
        <v>1060</v>
      </c>
    </row>
    <row r="14" customFormat="false" ht="15" hidden="false" customHeight="false" outlineLevel="0" collapsed="false">
      <c r="A14" s="7" t="s">
        <v>1061</v>
      </c>
      <c r="B14" s="21" t="n">
        <f aca="false">Build_Summary!$E$5</f>
        <v>5812800</v>
      </c>
      <c r="C14" s="5" t="s">
        <v>1062</v>
      </c>
    </row>
    <row r="15" customFormat="false" ht="15" hidden="false" customHeight="false" outlineLevel="0" collapsed="false">
      <c r="A15" s="7" t="s">
        <v>1063</v>
      </c>
      <c r="B15" s="21" t="n">
        <f aca="false">Build_Summary!$E$6</f>
        <v>12451200</v>
      </c>
      <c r="C15" s="5" t="s">
        <v>1064</v>
      </c>
    </row>
    <row r="16" customFormat="false" ht="15" hidden="false" customHeight="false" outlineLevel="0" collapsed="false">
      <c r="A16" s="7" t="s">
        <v>1065</v>
      </c>
      <c r="B16" s="21" t="n">
        <f aca="false">Build_Summary!$E$7</f>
        <v>3816000</v>
      </c>
      <c r="C16" s="5" t="s">
        <v>1066</v>
      </c>
    </row>
    <row r="17" customFormat="false" ht="15" hidden="false" customHeight="false" outlineLevel="0" collapsed="false">
      <c r="A17" s="7" t="s">
        <v>1067</v>
      </c>
      <c r="B17" s="21" t="n">
        <f aca="false">Build_Summary!$E$8</f>
        <v>3628800</v>
      </c>
      <c r="C17" s="5" t="s">
        <v>1068</v>
      </c>
    </row>
    <row r="18" customFormat="false" ht="15" hidden="false" customHeight="false" outlineLevel="0" collapsed="false">
      <c r="A18" s="7" t="s">
        <v>1069</v>
      </c>
      <c r="B18" s="21" t="n">
        <f aca="false">Build_Summary!$E$9</f>
        <v>864000</v>
      </c>
      <c r="C18" s="5" t="s">
        <v>1070</v>
      </c>
    </row>
    <row r="19" customFormat="false" ht="15" hidden="false" customHeight="false" outlineLevel="0" collapsed="false">
      <c r="A19" s="7" t="s">
        <v>1071</v>
      </c>
      <c r="B19" s="21" t="n">
        <f aca="false">Build_Summary!$E$10</f>
        <v>2116800</v>
      </c>
      <c r="C19" s="5" t="s">
        <v>1072</v>
      </c>
    </row>
    <row r="20" customFormat="false" ht="15" hidden="false" customHeight="false" outlineLevel="0" collapsed="false">
      <c r="A20" s="7" t="s">
        <v>1073</v>
      </c>
      <c r="B20" s="21" t="n">
        <f aca="false">Build_Summary!$E$11</f>
        <v>4435200</v>
      </c>
      <c r="C20" s="5" t="s">
        <v>1074</v>
      </c>
    </row>
    <row r="21" customFormat="false" ht="15" hidden="false" customHeight="false" outlineLevel="0" collapsed="false">
      <c r="A21" s="7" t="s">
        <v>1075</v>
      </c>
      <c r="B21" s="27" t="n">
        <f aca="false">WorkPackages!$E$40</f>
        <v>11180</v>
      </c>
      <c r="C21" s="5" t="s">
        <v>1076</v>
      </c>
    </row>
    <row r="22" customFormat="false" ht="15" hidden="false" customHeight="false" outlineLevel="0" collapsed="false">
      <c r="A22" s="7" t="s">
        <v>1077</v>
      </c>
      <c r="B22" s="27" t="n">
        <f aca="false">Traceability!$D$41</f>
        <v>172</v>
      </c>
      <c r="C22" s="5" t="s">
        <v>1078</v>
      </c>
    </row>
    <row r="23" customFormat="false" ht="15" hidden="false" customHeight="false" outlineLevel="0" collapsed="false">
      <c r="A23" s="7" t="s">
        <v>1079</v>
      </c>
      <c r="B23" s="27" t="n">
        <f aca="false">Traceability!$D$40</f>
        <v>145</v>
      </c>
      <c r="C23" s="5" t="s">
        <v>1080</v>
      </c>
    </row>
    <row r="24" customFormat="false" ht="15" hidden="false" customHeight="false" outlineLevel="0" collapsed="false">
      <c r="A24" s="7" t="s">
        <v>1081</v>
      </c>
      <c r="B24" s="21" t="n">
        <f aca="false">Build_vs_Buy!$B$7</f>
        <v>13104</v>
      </c>
      <c r="C24" s="5" t="s">
        <v>1082</v>
      </c>
    </row>
    <row r="25" customFormat="false" ht="15" hidden="false" customHeight="false" outlineLevel="0" collapsed="false">
      <c r="A25" s="7" t="s">
        <v>1083</v>
      </c>
      <c r="B25" s="22" t="str">
        <f aca="false">Build_Summary!$F$38</f>
        <v>OK — reconciles</v>
      </c>
      <c r="C25" s="5" t="s">
        <v>1084</v>
      </c>
    </row>
    <row r="26" customFormat="false" ht="15" hidden="false" customHeight="false" outlineLevel="0" collapsed="false">
      <c r="A26" s="7" t="s">
        <v>1085</v>
      </c>
      <c r="B26" s="22" t="str">
        <f aca="false">TCO!$E$29</f>
        <v>OK — reconciles</v>
      </c>
      <c r="C26" s="5" t="s">
        <v>1086</v>
      </c>
    </row>
    <row r="27" customFormat="false" ht="15" hidden="false" customHeight="false" outlineLevel="0" collapsed="false">
      <c r="A27" s="7" t="s">
        <v>1087</v>
      </c>
      <c r="B27" s="22" t="str">
        <f aca="false">WorkPackages!$I$40</f>
        <v>OK — matches register 11,180 h</v>
      </c>
      <c r="C27" s="5" t="s">
        <v>1088</v>
      </c>
    </row>
    <row r="28" customFormat="false" ht="15" hidden="false" customHeight="false" outlineLevel="0" collapsed="false">
      <c r="A28" s="7" t="s">
        <v>1089</v>
      </c>
      <c r="B28" s="22" t="str">
        <f aca="false">Traceability!$D$45</f>
        <v>OK</v>
      </c>
      <c r="C28" s="5" t="s">
        <v>1090</v>
      </c>
    </row>
    <row r="30" customFormat="false" ht="15" hidden="false" customHeight="false" outlineLevel="0" collapsed="false">
      <c r="A30" s="5" t="s">
        <v>1091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8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1092</v>
      </c>
    </row>
    <row r="2" customFormat="false" ht="45" hidden="false" customHeight="true" outlineLevel="0" collapsed="false">
      <c r="A2" s="35" t="s">
        <v>1093</v>
      </c>
    </row>
    <row r="4" customFormat="false" ht="15" hidden="false" customHeight="false" outlineLevel="0" collapsed="false">
      <c r="A4" s="28" t="s">
        <v>1094</v>
      </c>
    </row>
    <row r="5" customFormat="false" ht="15" hidden="false" customHeight="false" outlineLevel="0" collapsed="false">
      <c r="A5" s="6" t="s">
        <v>1095</v>
      </c>
      <c r="B5" s="6" t="s">
        <v>1096</v>
      </c>
      <c r="C5" s="6" t="s">
        <v>1097</v>
      </c>
      <c r="D5" s="6" t="s">
        <v>1098</v>
      </c>
      <c r="E5" s="6" t="s">
        <v>484</v>
      </c>
      <c r="F5" s="6" t="s">
        <v>17</v>
      </c>
    </row>
    <row r="6" customFormat="false" ht="15" hidden="false" customHeight="false" outlineLevel="0" collapsed="false">
      <c r="A6" s="7" t="s">
        <v>1075</v>
      </c>
      <c r="B6" s="12" t="n">
        <v>12000</v>
      </c>
      <c r="C6" s="27" t="n">
        <f aca="false">WorkPackages!$E$40</f>
        <v>11180</v>
      </c>
      <c r="D6" s="13" t="n">
        <f aca="false">C6-B6</f>
        <v>-820</v>
      </c>
      <c r="E6" s="29" t="n">
        <f aca="false">IF(B6=0,0,D6/B6)</f>
        <v>-0.0683333333333333</v>
      </c>
      <c r="F6" s="5" t="s">
        <v>1099</v>
      </c>
    </row>
    <row r="7" customFormat="false" ht="15" hidden="false" customHeight="false" outlineLevel="0" collapsed="false">
      <c r="A7" s="7" t="s">
        <v>1100</v>
      </c>
      <c r="B7" s="12" t="n">
        <v>37</v>
      </c>
      <c r="C7" s="27" t="n">
        <f aca="false">COUNTA(WorkPackages!$A$4:$A$39)</f>
        <v>36</v>
      </c>
      <c r="D7" s="13" t="n">
        <f aca="false">C7-B7</f>
        <v>-1</v>
      </c>
      <c r="E7" s="29" t="n">
        <f aca="false">IF(B7=0,0,D7/B7)</f>
        <v>-0.027027027027027</v>
      </c>
      <c r="F7" s="5" t="s">
        <v>1101</v>
      </c>
    </row>
    <row r="8" customFormat="false" ht="15" hidden="false" customHeight="false" outlineLevel="0" collapsed="false">
      <c r="A8" s="7" t="s">
        <v>1102</v>
      </c>
      <c r="B8" s="12" t="n">
        <v>64</v>
      </c>
      <c r="C8" s="27" t="n">
        <f aca="false">Assumptions!$B$32</f>
        <v>62</v>
      </c>
      <c r="D8" s="13" t="n">
        <f aca="false">C8-B8</f>
        <v>-2</v>
      </c>
      <c r="E8" s="29" t="n">
        <f aca="false">IF(B8=0,0,D8/B8)</f>
        <v>-0.03125</v>
      </c>
      <c r="F8" s="5" t="s">
        <v>1103</v>
      </c>
    </row>
    <row r="9" customFormat="false" ht="15" hidden="false" customHeight="false" outlineLevel="0" collapsed="false">
      <c r="A9" s="7" t="s">
        <v>1104</v>
      </c>
      <c r="B9" s="48" t="n">
        <v>6969.23076923077</v>
      </c>
      <c r="C9" s="47" t="n">
        <f aca="false">Build_Summary!$B$19</f>
        <v>7048.76826722338</v>
      </c>
      <c r="D9" s="30" t="n">
        <f aca="false">C9-B9</f>
        <v>79.5374979926119</v>
      </c>
      <c r="E9" s="29" t="n">
        <f aca="false">IF(B9=0,0,D9/B9)</f>
        <v>0.0114126652748781</v>
      </c>
      <c r="F9" s="5" t="s">
        <v>1105</v>
      </c>
    </row>
    <row r="10" customFormat="false" ht="15" hidden="false" customHeight="false" outlineLevel="0" collapsed="false">
      <c r="A10" s="7" t="s">
        <v>1106</v>
      </c>
      <c r="B10" s="8" t="n">
        <v>20839827.6923077</v>
      </c>
      <c r="C10" s="21" t="n">
        <f aca="false">Build_Summary!$E$19</f>
        <v>21060305.6367432</v>
      </c>
      <c r="D10" s="14" t="n">
        <f aca="false">C10-B10</f>
        <v>220477.944435515</v>
      </c>
      <c r="E10" s="29" t="n">
        <f aca="false">IF(B10=0,0,D10/B10)</f>
        <v>0.0105796433488218</v>
      </c>
      <c r="F10" s="5" t="s">
        <v>1107</v>
      </c>
    </row>
    <row r="11" customFormat="false" ht="15" hidden="false" customHeight="false" outlineLevel="0" collapsed="false">
      <c r="A11" s="7" t="s">
        <v>1108</v>
      </c>
      <c r="B11" s="8" t="n">
        <v>35558400</v>
      </c>
      <c r="C11" s="21" t="n">
        <f aca="false">Build_Summary!$E$12</f>
        <v>33124800</v>
      </c>
      <c r="D11" s="14" t="n">
        <f aca="false">C11-B11</f>
        <v>-2433600</v>
      </c>
      <c r="E11" s="29" t="n">
        <f aca="false">IF(B11=0,0,D11/B11)</f>
        <v>-0.068439524838013</v>
      </c>
      <c r="F11" s="5"/>
    </row>
    <row r="12" customFormat="false" ht="15" hidden="false" customHeight="false" outlineLevel="0" collapsed="false">
      <c r="A12" s="7" t="s">
        <v>1049</v>
      </c>
      <c r="B12" s="8" t="n">
        <v>470560</v>
      </c>
      <c r="C12" s="21" t="n">
        <f aca="false">OpEx_Monthly!$C$24</f>
        <v>495760</v>
      </c>
      <c r="D12" s="14" t="n">
        <f aca="false">C12-B12</f>
        <v>25200</v>
      </c>
      <c r="E12" s="29" t="n">
        <f aca="false">IF(B12=0,0,D12/B12)</f>
        <v>0.0535532131927916</v>
      </c>
      <c r="F12" s="5" t="s">
        <v>1109</v>
      </c>
    </row>
    <row r="13" customFormat="false" ht="15" hidden="false" customHeight="false" outlineLevel="0" collapsed="false">
      <c r="A13" s="7" t="s">
        <v>1110</v>
      </c>
      <c r="B13" s="8" t="n">
        <v>381000</v>
      </c>
      <c r="C13" s="21" t="n">
        <f aca="false">OpEx_Monthly!$C$25</f>
        <v>406200</v>
      </c>
      <c r="D13" s="14" t="n">
        <f aca="false">C13-B13</f>
        <v>25200</v>
      </c>
      <c r="E13" s="29" t="n">
        <f aca="false">IF(B13=0,0,D13/B13)</f>
        <v>0.0661417322834646</v>
      </c>
      <c r="F13" s="5" t="s">
        <v>1111</v>
      </c>
    </row>
    <row r="14" customFormat="false" ht="15" hidden="false" customHeight="false" outlineLevel="0" collapsed="false">
      <c r="A14" s="7" t="s">
        <v>1053</v>
      </c>
      <c r="B14" s="8" t="n">
        <v>53148560</v>
      </c>
      <c r="C14" s="21" t="n">
        <f aca="false">TCO!$C$22</f>
        <v>51622160</v>
      </c>
      <c r="D14" s="14" t="n">
        <f aca="false">C14-B14</f>
        <v>-1526400</v>
      </c>
      <c r="E14" s="29" t="n">
        <f aca="false">IF(B14=0,0,D14/B14)</f>
        <v>-0.0287194987032574</v>
      </c>
      <c r="F14" s="5"/>
    </row>
    <row r="15" customFormat="false" ht="15" hidden="false" customHeight="false" outlineLevel="0" collapsed="false">
      <c r="A15" s="7" t="s">
        <v>1055</v>
      </c>
      <c r="B15" s="8" t="n">
        <v>42518848</v>
      </c>
      <c r="C15" s="21" t="n">
        <f aca="false">TCO!$B$22</f>
        <v>41297728</v>
      </c>
      <c r="D15" s="14" t="n">
        <f aca="false">C15-B15</f>
        <v>-1221120</v>
      </c>
      <c r="E15" s="29" t="n">
        <f aca="false">IF(B15=0,0,D15/B15)</f>
        <v>-0.0287194987032574</v>
      </c>
      <c r="F15" s="5"/>
    </row>
    <row r="16" customFormat="false" ht="15" hidden="false" customHeight="false" outlineLevel="0" collapsed="false">
      <c r="A16" s="7" t="s">
        <v>1057</v>
      </c>
      <c r="B16" s="8" t="n">
        <v>69093128</v>
      </c>
      <c r="C16" s="21" t="n">
        <f aca="false">TCO!$D$22</f>
        <v>67108808</v>
      </c>
      <c r="D16" s="14" t="n">
        <f aca="false">C16-B16</f>
        <v>-1984320</v>
      </c>
      <c r="E16" s="29" t="n">
        <f aca="false">IF(B16=0,0,D16/B16)</f>
        <v>-0.0287194987032574</v>
      </c>
      <c r="F16" s="5"/>
    </row>
    <row r="17" customFormat="false" ht="15" hidden="false" customHeight="false" outlineLevel="0" collapsed="false">
      <c r="A17" s="7" t="s">
        <v>1059</v>
      </c>
      <c r="B17" s="8" t="n">
        <v>35205827.6923077</v>
      </c>
      <c r="C17" s="21" t="n">
        <f aca="false">TCO!$C$16</f>
        <v>36333505.6367432</v>
      </c>
      <c r="D17" s="14" t="n">
        <f aca="false">C17-B17</f>
        <v>1127677.94443551</v>
      </c>
      <c r="E17" s="29" t="n">
        <f aca="false">IF(B17=0,0,D17/B17)</f>
        <v>0.0320310022048397</v>
      </c>
      <c r="F17" s="5"/>
    </row>
    <row r="18" customFormat="false" ht="15" hidden="false" customHeight="false" outlineLevel="0" collapsed="false">
      <c r="A18" s="7" t="s">
        <v>1112</v>
      </c>
      <c r="B18" s="8" t="n">
        <v>5812800</v>
      </c>
      <c r="C18" s="21" t="n">
        <f aca="false">Build_Summary!$E$5</f>
        <v>5812800</v>
      </c>
      <c r="D18" s="14" t="n">
        <f aca="false">C18-B18</f>
        <v>0</v>
      </c>
      <c r="E18" s="29" t="n">
        <f aca="false">IF(B18=0,0,D18/B18)</f>
        <v>0</v>
      </c>
      <c r="F18" s="5"/>
    </row>
    <row r="19" customFormat="false" ht="15" hidden="false" customHeight="false" outlineLevel="0" collapsed="false">
      <c r="A19" s="7" t="s">
        <v>1113</v>
      </c>
      <c r="B19" s="8" t="n">
        <v>12451200</v>
      </c>
      <c r="C19" s="21" t="n">
        <f aca="false">Build_Summary!$E$6</f>
        <v>12451200</v>
      </c>
      <c r="D19" s="14" t="n">
        <f aca="false">C19-B19</f>
        <v>0</v>
      </c>
      <c r="E19" s="29" t="n">
        <f aca="false">IF(B19=0,0,D19/B19)</f>
        <v>0</v>
      </c>
      <c r="F19" s="5"/>
    </row>
    <row r="20" customFormat="false" ht="15" hidden="false" customHeight="false" outlineLevel="0" collapsed="false">
      <c r="A20" s="7" t="s">
        <v>1114</v>
      </c>
      <c r="B20" s="8" t="n">
        <v>1540800</v>
      </c>
      <c r="C20" s="21" t="n">
        <f aca="false">Build_Summary!$E$7</f>
        <v>3816000</v>
      </c>
      <c r="D20" s="14" t="n">
        <f aca="false">C20-B20</f>
        <v>2275200</v>
      </c>
      <c r="E20" s="29" t="n">
        <f aca="false">IF(B20=0,0,D20/B20)</f>
        <v>1.47663551401869</v>
      </c>
      <c r="F20" s="5"/>
    </row>
    <row r="21" customFormat="false" ht="15" hidden="false" customHeight="false" outlineLevel="0" collapsed="false">
      <c r="A21" s="7" t="s">
        <v>1115</v>
      </c>
      <c r="B21" s="8" t="n">
        <v>4483200</v>
      </c>
      <c r="C21" s="21" t="n">
        <f aca="false">Build_Summary!$E$8</f>
        <v>3628800</v>
      </c>
      <c r="D21" s="14" t="n">
        <f aca="false">C21-B21</f>
        <v>-854400</v>
      </c>
      <c r="E21" s="29" t="n">
        <f aca="false">IF(B21=0,0,D21/B21)</f>
        <v>-0.190578158458244</v>
      </c>
      <c r="F21" s="5"/>
    </row>
    <row r="22" customFormat="false" ht="15" hidden="false" customHeight="false" outlineLevel="0" collapsed="false">
      <c r="A22" s="7" t="s">
        <v>1116</v>
      </c>
      <c r="B22" s="8" t="n">
        <v>2971200</v>
      </c>
      <c r="C22" s="21" t="n">
        <f aca="false">Build_Summary!$E$9</f>
        <v>864000</v>
      </c>
      <c r="D22" s="14" t="n">
        <f aca="false">C22-B22</f>
        <v>-2107200</v>
      </c>
      <c r="E22" s="29" t="n">
        <f aca="false">IF(B22=0,0,D22/B22)</f>
        <v>-0.709208400646204</v>
      </c>
      <c r="F22" s="5"/>
    </row>
    <row r="23" customFormat="false" ht="15" hidden="false" customHeight="false" outlineLevel="0" collapsed="false">
      <c r="A23" s="7" t="s">
        <v>1117</v>
      </c>
      <c r="B23" s="8" t="n">
        <v>3864000</v>
      </c>
      <c r="C23" s="21" t="n">
        <f aca="false">Build_Summary!$E$10</f>
        <v>2116800</v>
      </c>
      <c r="D23" s="14" t="n">
        <f aca="false">C23-B23</f>
        <v>-1747200</v>
      </c>
      <c r="E23" s="29" t="n">
        <f aca="false">IF(B23=0,0,D23/B23)</f>
        <v>-0.452173913043478</v>
      </c>
      <c r="F23" s="5"/>
    </row>
    <row r="24" customFormat="false" ht="15" hidden="false" customHeight="false" outlineLevel="0" collapsed="false">
      <c r="A24" s="7" t="s">
        <v>1118</v>
      </c>
      <c r="B24" s="8" t="n">
        <v>4435200</v>
      </c>
      <c r="C24" s="21" t="n">
        <f aca="false">Build_Summary!$E$11</f>
        <v>4435200</v>
      </c>
      <c r="D24" s="14" t="n">
        <f aca="false">C24-B24</f>
        <v>0</v>
      </c>
      <c r="E24" s="29" t="n">
        <f aca="false">IF(B24=0,0,D24/B24)</f>
        <v>0</v>
      </c>
      <c r="F24" s="5"/>
    </row>
    <row r="25" customFormat="false" ht="15" hidden="false" customHeight="false" outlineLevel="0" collapsed="false">
      <c r="A25" s="7" t="s">
        <v>1077</v>
      </c>
      <c r="B25" s="12" t="n">
        <v>165</v>
      </c>
      <c r="C25" s="27" t="n">
        <f aca="false">Traceability!$D$41</f>
        <v>172</v>
      </c>
      <c r="D25" s="13" t="n">
        <f aca="false">C25-B25</f>
        <v>7</v>
      </c>
      <c r="E25" s="29" t="n">
        <f aca="false">IF(B25=0,0,D25/B25)</f>
        <v>0.0424242424242424</v>
      </c>
      <c r="F25" s="5" t="s">
        <v>1119</v>
      </c>
    </row>
    <row r="27" customFormat="false" ht="15" hidden="false" customHeight="false" outlineLevel="0" collapsed="false">
      <c r="A27" s="28" t="s">
        <v>1120</v>
      </c>
    </row>
    <row r="28" customFormat="false" ht="26.85" hidden="false" customHeight="false" outlineLevel="0" collapsed="false">
      <c r="A28" s="6" t="s">
        <v>1121</v>
      </c>
      <c r="B28" s="6" t="s">
        <v>1122</v>
      </c>
      <c r="C28" s="6" t="s">
        <v>1123</v>
      </c>
      <c r="D28" s="6" t="s">
        <v>1124</v>
      </c>
      <c r="E28" s="6" t="s">
        <v>1125</v>
      </c>
      <c r="F28" s="6" t="s">
        <v>1126</v>
      </c>
    </row>
    <row r="29" customFormat="false" ht="15" hidden="false" customHeight="false" outlineLevel="0" collapsed="false">
      <c r="A29" s="5" t="s">
        <v>1127</v>
      </c>
    </row>
    <row r="30" customFormat="false" ht="15" hidden="false" customHeight="false" outlineLevel="0" collapsed="false">
      <c r="A30" s="7" t="s">
        <v>1128</v>
      </c>
      <c r="B30" s="12" t="n">
        <v>340</v>
      </c>
      <c r="C30" s="27" t="n">
        <f aca="false">INDEX(WorkPackages!$E$4:$E$39,MATCH("WP-14",WorkPackages!$A$4:$A$39,0))</f>
        <v>220</v>
      </c>
      <c r="D30" s="13" t="n">
        <f aca="false">C30-B30</f>
        <v>-120</v>
      </c>
      <c r="E30" s="14" t="n">
        <f aca="false">D30*INDEX(WorkPackages!$F$4:$F$39,MATCH("WP-14",WorkPackages!$A$4:$A$39,0))*(1+Assumptions!$B$19)</f>
        <v>-345600</v>
      </c>
      <c r="F30" s="5" t="s">
        <v>1129</v>
      </c>
    </row>
    <row r="31" customFormat="false" ht="15" hidden="false" customHeight="false" outlineLevel="0" collapsed="false">
      <c r="A31" s="7" t="s">
        <v>1130</v>
      </c>
      <c r="B31" s="12" t="n">
        <v>200</v>
      </c>
      <c r="C31" s="12" t="n">
        <v>0</v>
      </c>
      <c r="D31" s="13" t="n">
        <f aca="false">C31-B31</f>
        <v>-200</v>
      </c>
      <c r="E31" s="14" t="n">
        <f aca="false">D31*VLOOKUP("Integration eng",Assumptions!$A$5:$B$16,2,FALSE())*(1+Assumptions!$B$19)</f>
        <v>-624000</v>
      </c>
      <c r="F31" s="5" t="s">
        <v>1131</v>
      </c>
    </row>
    <row r="32" customFormat="false" ht="15" hidden="false" customHeight="false" outlineLevel="0" collapsed="false">
      <c r="A32" s="7" t="s">
        <v>1132</v>
      </c>
      <c r="B32" s="12" t="n">
        <v>380</v>
      </c>
      <c r="C32" s="12" t="n">
        <v>0</v>
      </c>
      <c r="D32" s="13" t="n">
        <f aca="false">C32-B32</f>
        <v>-380</v>
      </c>
      <c r="E32" s="14" t="n">
        <f aca="false">D32*VLOOKUP("Integration eng",Assumptions!$A$5:$B$16,2,FALSE())*(1+Assumptions!$B$19)</f>
        <v>-1185600</v>
      </c>
      <c r="F32" s="5" t="s">
        <v>1133</v>
      </c>
    </row>
    <row r="33" customFormat="false" ht="15" hidden="false" customHeight="false" outlineLevel="0" collapsed="false">
      <c r="A33" s="7" t="s">
        <v>1134</v>
      </c>
      <c r="B33" s="12" t="n">
        <v>360</v>
      </c>
      <c r="C33" s="27" t="n">
        <f aca="false">INDEX(WorkPackages!$E$4:$E$39,MATCH("WP-20",WorkPackages!$A$4:$A$39,0))</f>
        <v>280</v>
      </c>
      <c r="D33" s="13" t="n">
        <f aca="false">C33-B33</f>
        <v>-80</v>
      </c>
      <c r="E33" s="14" t="n">
        <f aca="false">D33*INDEX(WorkPackages!$F$4:$F$39,MATCH("WP-20",WorkPackages!$A$4:$A$39,0))*(1+Assumptions!$B$19)</f>
        <v>-230400</v>
      </c>
      <c r="F33" s="5" t="s">
        <v>1135</v>
      </c>
    </row>
    <row r="34" customFormat="false" ht="15" hidden="false" customHeight="false" outlineLevel="0" collapsed="false">
      <c r="A34" s="7" t="s">
        <v>1136</v>
      </c>
      <c r="B34" s="12" t="n">
        <v>320</v>
      </c>
      <c r="C34" s="12" t="n">
        <v>0</v>
      </c>
      <c r="D34" s="13" t="n">
        <f aca="false">C34-B34</f>
        <v>-320</v>
      </c>
      <c r="E34" s="14" t="n">
        <f aca="false">D34*VLOOKUP("Full-stack",Assumptions!$A$5:$B$16,2,FALSE())*(1+Assumptions!$B$19)</f>
        <v>-921600</v>
      </c>
      <c r="F34" s="5" t="s">
        <v>1137</v>
      </c>
    </row>
    <row r="35" customFormat="false" ht="15" hidden="false" customHeight="false" outlineLevel="0" collapsed="false">
      <c r="A35" s="7" t="s">
        <v>1138</v>
      </c>
      <c r="B35" s="12" t="n">
        <v>720</v>
      </c>
      <c r="C35" s="27" t="n">
        <f aca="false">INDEX(WorkPackages!$E$4:$E$39,MATCH("WP-23",WorkPackages!$A$4:$A$39,0))</f>
        <v>600</v>
      </c>
      <c r="D35" s="13" t="n">
        <f aca="false">C35-B35</f>
        <v>-120</v>
      </c>
      <c r="E35" s="14" t="n">
        <f aca="false">D35*INDEX(WorkPackages!$F$4:$F$39,MATCH("WP-23",WorkPackages!$A$4:$A$39,0))*(1+Assumptions!$B$19)</f>
        <v>-374400</v>
      </c>
      <c r="F35" s="5" t="s">
        <v>1139</v>
      </c>
    </row>
    <row r="36" customFormat="false" ht="15" hidden="false" customHeight="false" outlineLevel="0" collapsed="false">
      <c r="A36" s="7" t="s">
        <v>1140</v>
      </c>
      <c r="B36" s="12" t="n">
        <v>0</v>
      </c>
      <c r="C36" s="27" t="n">
        <f aca="false">INDEX(WorkPackages!$E$4:$E$39,MATCH("WP-38",WorkPackages!$A$4:$A$39,0))</f>
        <v>240</v>
      </c>
      <c r="D36" s="13" t="n">
        <f aca="false">C36-B36</f>
        <v>240</v>
      </c>
      <c r="E36" s="14" t="n">
        <f aca="false">D36*INDEX(WorkPackages!$F$4:$F$39,MATCH("WP-38",WorkPackages!$A$4:$A$39,0))*(1+Assumptions!$B$19)</f>
        <v>748800</v>
      </c>
      <c r="F36" s="5" t="s">
        <v>1141</v>
      </c>
    </row>
    <row r="37" customFormat="false" ht="15" hidden="false" customHeight="false" outlineLevel="0" collapsed="false">
      <c r="A37" s="7" t="s">
        <v>1142</v>
      </c>
      <c r="B37" s="12" t="n">
        <v>0</v>
      </c>
      <c r="C37" s="27" t="n">
        <f aca="false">INDEX(WorkPackages!$E$4:$E$39,MATCH("WP-39",WorkPackages!$A$4:$A$39,0))</f>
        <v>160</v>
      </c>
      <c r="D37" s="13" t="n">
        <f aca="false">C37-B37</f>
        <v>160</v>
      </c>
      <c r="E37" s="14" t="n">
        <f aca="false">D37*INDEX(WorkPackages!$F$4:$F$39,MATCH("WP-39",WorkPackages!$A$4:$A$39,0))*(1+Assumptions!$B$19)</f>
        <v>499200</v>
      </c>
      <c r="F37" s="5" t="s">
        <v>1143</v>
      </c>
    </row>
    <row r="38" customFormat="false" ht="15" hidden="false" customHeight="false" outlineLevel="0" collapsed="false">
      <c r="A38" s="23" t="s">
        <v>1144</v>
      </c>
      <c r="B38" s="25" t="n">
        <f aca="false">SUM(B30:B37)</f>
        <v>2320</v>
      </c>
      <c r="C38" s="25" t="n">
        <f aca="false">SUM(C30:C37)</f>
        <v>1500</v>
      </c>
      <c r="D38" s="25" t="n">
        <f aca="false">SUM(D30:D37)</f>
        <v>-820</v>
      </c>
      <c r="E38" s="26" t="n">
        <f aca="false">SUM(E30:E37)</f>
        <v>-2433600</v>
      </c>
      <c r="F38" s="24"/>
    </row>
    <row r="39" customFormat="false" ht="15" hidden="false" customHeight="false" outlineLevel="0" collapsed="false">
      <c r="A39" s="7" t="s">
        <v>1145</v>
      </c>
      <c r="D39" s="28" t="str">
        <f aca="false">IF(D38=D6,"OK — reconciles","CHECK")</f>
        <v>OK — reconciles</v>
      </c>
    </row>
    <row r="40" customFormat="false" ht="15" hidden="false" customHeight="false" outlineLevel="0" collapsed="false">
      <c r="A40" s="7" t="s">
        <v>1146</v>
      </c>
      <c r="E40" s="28" t="str">
        <f aca="false">IF(ABS(E38-D11)&lt;1,"OK — reconciles","CHECK")</f>
        <v>OK — reconciles</v>
      </c>
    </row>
    <row r="42" customFormat="false" ht="15" hidden="false" customHeight="false" outlineLevel="0" collapsed="false">
      <c r="A42" s="28" t="s">
        <v>1147</v>
      </c>
    </row>
    <row r="43" customFormat="false" ht="15" hidden="false" customHeight="false" outlineLevel="0" collapsed="false">
      <c r="A43" s="6" t="s">
        <v>1148</v>
      </c>
      <c r="B43" s="6" t="s">
        <v>1149</v>
      </c>
      <c r="C43" s="6" t="s">
        <v>1150</v>
      </c>
      <c r="D43" s="6" t="s">
        <v>1122</v>
      </c>
      <c r="E43" s="6" t="s">
        <v>1123</v>
      </c>
      <c r="F43" s="6" t="s">
        <v>1151</v>
      </c>
    </row>
    <row r="44" customFormat="false" ht="15" hidden="false" customHeight="false" outlineLevel="0" collapsed="false">
      <c r="A44" s="7" t="s">
        <v>49</v>
      </c>
      <c r="B44" s="12" t="n">
        <v>8</v>
      </c>
      <c r="C44" s="27" t="n">
        <f aca="false">Assumptions!$B$26</f>
        <v>8</v>
      </c>
      <c r="D44" s="12" t="n">
        <v>1840</v>
      </c>
      <c r="E44" s="27" t="n">
        <f aca="false">Build_Summary!$B$5</f>
        <v>1840</v>
      </c>
      <c r="F44" s="5"/>
    </row>
    <row r="45" customFormat="false" ht="15" hidden="false" customHeight="false" outlineLevel="0" collapsed="false">
      <c r="A45" s="7" t="s">
        <v>52</v>
      </c>
      <c r="B45" s="12" t="n">
        <v>14</v>
      </c>
      <c r="C45" s="27" t="n">
        <f aca="false">Assumptions!$B$27</f>
        <v>14</v>
      </c>
      <c r="D45" s="12" t="n">
        <v>4200</v>
      </c>
      <c r="E45" s="27" t="n">
        <f aca="false">Build_Summary!$B$6</f>
        <v>4200</v>
      </c>
      <c r="F45" s="5"/>
    </row>
    <row r="46" customFormat="false" ht="15" hidden="false" customHeight="false" outlineLevel="0" collapsed="false">
      <c r="A46" s="7" t="s">
        <v>54</v>
      </c>
      <c r="B46" s="12" t="n">
        <v>10</v>
      </c>
      <c r="C46" s="27" t="n">
        <f aca="false">Assumptions!$B$28</f>
        <v>14</v>
      </c>
      <c r="D46" s="12" t="n">
        <v>520</v>
      </c>
      <c r="E46" s="27" t="n">
        <f aca="false">Build_Summary!$B$7</f>
        <v>1240</v>
      </c>
      <c r="F46" s="5" t="s">
        <v>1152</v>
      </c>
    </row>
    <row r="47" customFormat="false" ht="15" hidden="false" customHeight="false" outlineLevel="0" collapsed="false">
      <c r="A47" s="7" t="s">
        <v>56</v>
      </c>
      <c r="B47" s="12" t="n">
        <v>10</v>
      </c>
      <c r="C47" s="27" t="n">
        <f aca="false">Assumptions!$B$29</f>
        <v>10</v>
      </c>
      <c r="D47" s="12" t="n">
        <v>1540</v>
      </c>
      <c r="E47" s="27" t="n">
        <f aca="false">Build_Summary!$B$8</f>
        <v>1260</v>
      </c>
      <c r="F47" s="5" t="s">
        <v>1153</v>
      </c>
    </row>
    <row r="48" customFormat="false" ht="15" hidden="false" customHeight="false" outlineLevel="0" collapsed="false">
      <c r="A48" s="7" t="s">
        <v>58</v>
      </c>
      <c r="B48" s="12" t="n">
        <v>10</v>
      </c>
      <c r="C48" s="27" t="n">
        <f aca="false">Assumptions!$B$30</f>
        <v>6</v>
      </c>
      <c r="D48" s="12" t="n">
        <v>1000</v>
      </c>
      <c r="E48" s="27" t="n">
        <f aca="false">Build_Summary!$B$9</f>
        <v>300</v>
      </c>
      <c r="F48" s="5" t="s">
        <v>1154</v>
      </c>
    </row>
    <row r="49" customFormat="false" ht="15" hidden="false" customHeight="false" outlineLevel="0" collapsed="false">
      <c r="A49" s="7" t="s">
        <v>60</v>
      </c>
      <c r="B49" s="12" t="n">
        <v>12</v>
      </c>
      <c r="C49" s="27" t="n">
        <f aca="false">Assumptions!$B$31</f>
        <v>10</v>
      </c>
      <c r="D49" s="12" t="n">
        <v>1300</v>
      </c>
      <c r="E49" s="27" t="n">
        <f aca="false">Build_Summary!$B$10</f>
        <v>740</v>
      </c>
      <c r="F49" s="5" t="s">
        <v>1155</v>
      </c>
    </row>
    <row r="50" customFormat="false" ht="15" hidden="false" customHeight="false" outlineLevel="0" collapsed="false">
      <c r="A50" s="7" t="s">
        <v>1156</v>
      </c>
      <c r="D50" s="12" t="n">
        <v>1600</v>
      </c>
      <c r="E50" s="27" t="n">
        <f aca="false">Build_Summary!$B$11</f>
        <v>1600</v>
      </c>
      <c r="F50" s="5"/>
    </row>
    <row r="51" customFormat="false" ht="15" hidden="false" customHeight="false" outlineLevel="0" collapsed="false">
      <c r="A51" s="23" t="s">
        <v>287</v>
      </c>
      <c r="B51" s="25" t="n">
        <f aca="false">SUM(B44:B50)</f>
        <v>64</v>
      </c>
      <c r="C51" s="25" t="n">
        <f aca="false">SUM(C44:C50)</f>
        <v>62</v>
      </c>
      <c r="D51" s="25" t="n">
        <f aca="false">SUM(D44:D50)</f>
        <v>12000</v>
      </c>
      <c r="E51" s="25" t="n">
        <f aca="false">SUM(E44:E50)</f>
        <v>11180</v>
      </c>
      <c r="F51" s="24"/>
    </row>
    <row r="53" customFormat="false" ht="45" hidden="false" customHeight="true" outlineLevel="0" collapsed="false">
      <c r="A53" s="46" t="s">
        <v>1157</v>
      </c>
      <c r="B53" s="46"/>
      <c r="C53" s="46"/>
      <c r="D53" s="46"/>
      <c r="E53" s="46"/>
      <c r="F53" s="46"/>
    </row>
  </sheetData>
  <mergeCells count="1"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2026-10-10T13:27:54Z</dcterms:created>
  <dc:creator>openpyxl</dc:creator>
  <dc:description/>
  <dc:language>en-US</dc:language>
  <cp:lastModifiedBy/>
  <dcterms:modified xsi:type="dcterms:W3CDTF">2026-10-10T13:27:54Z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